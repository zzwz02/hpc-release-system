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awu\Downloads\"/>
    </mc:Choice>
  </mc:AlternateContent>
  <xr:revisionPtr revIDLastSave="0" documentId="13_ncr:1_{9866539A-F439-442C-93E9-A27411086ADE}" xr6:coauthVersionLast="47" xr6:coauthVersionMax="47" xr10:uidLastSave="{00000000-0000-0000-0000-000000000000}"/>
  <bookViews>
    <workbookView xWindow="-110" yWindow="-110" windowWidth="25820" windowHeight="13900" activeTab="6" xr2:uid="{752BAC88-3D22-6345-9E5D-6A586CA68B77}"/>
  </bookViews>
  <sheets>
    <sheet name="C500" sheetId="1" r:id="rId1"/>
    <sheet name="X201" sheetId="2" r:id="rId2"/>
    <sheet name="X203" sheetId="3" r:id="rId3"/>
    <sheet name="N300" sheetId="4" r:id="rId4"/>
    <sheet name="X301" sheetId="5" r:id="rId5"/>
    <sheet name="C600" sheetId="6" r:id="rId6"/>
    <sheet name="X302" sheetId="7" r:id="rId7"/>
  </sheets>
  <definedNames>
    <definedName name="_xlnm._FilterDatabase" localSheetId="2">'X203'!$A$58:$J$117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1" i="5" l="1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3" i="5"/>
  <c r="G22" i="5"/>
  <c r="G21" i="5"/>
  <c r="G20" i="5"/>
  <c r="G19" i="5"/>
  <c r="G18" i="5"/>
  <c r="G40" i="4"/>
  <c r="G39" i="4"/>
  <c r="G38" i="4"/>
  <c r="G37" i="4"/>
  <c r="G36" i="4"/>
  <c r="G35" i="4"/>
  <c r="G29" i="4"/>
  <c r="G28" i="4"/>
  <c r="G27" i="4"/>
  <c r="G26" i="4"/>
  <c r="G25" i="4"/>
  <c r="G24" i="4"/>
  <c r="G23" i="4"/>
  <c r="G22" i="4"/>
  <c r="G21" i="4"/>
  <c r="G20" i="4"/>
  <c r="G19" i="4"/>
  <c r="G18" i="4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I76" i="3"/>
  <c r="I75" i="3"/>
  <c r="H75" i="3"/>
  <c r="I74" i="3"/>
  <c r="I73" i="3"/>
  <c r="I72" i="3"/>
  <c r="H72" i="3"/>
  <c r="I71" i="3"/>
  <c r="I70" i="3"/>
  <c r="I69" i="3"/>
  <c r="H69" i="3"/>
  <c r="I68" i="3"/>
  <c r="I67" i="3"/>
  <c r="I66" i="3"/>
  <c r="H66" i="3"/>
  <c r="I65" i="3"/>
  <c r="H65" i="3"/>
  <c r="I64" i="3"/>
  <c r="H64" i="3"/>
  <c r="I63" i="3"/>
  <c r="I62" i="3"/>
  <c r="I61" i="3"/>
  <c r="I60" i="3"/>
  <c r="I59" i="3"/>
  <c r="H59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2" i="2"/>
  <c r="G199" i="2"/>
  <c r="G196" i="2"/>
  <c r="G193" i="2"/>
  <c r="G192" i="2"/>
  <c r="G191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E99" i="2"/>
  <c r="E98" i="2"/>
  <c r="E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E78" i="1"/>
  <c r="E77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</calcChain>
</file>

<file path=xl/sharedStrings.xml><?xml version="1.0" encoding="utf-8"?>
<sst xmlns="http://schemas.openxmlformats.org/spreadsheetml/2006/main" count="4762" uniqueCount="1421">
  <si>
    <t>Test Environment</t>
  </si>
  <si>
    <t>Product Name</t>
  </si>
  <si>
    <t>NF5468-M7-A0-R0-00</t>
  </si>
  <si>
    <t>Host Ip</t>
  </si>
  <si>
    <t>10.2.185.35</t>
  </si>
  <si>
    <t>OS</t>
  </si>
  <si>
    <t>ubuntu22.04</t>
  </si>
  <si>
    <t>Kernel</t>
  </si>
  <si>
    <t>5.15.0-119-generic</t>
  </si>
  <si>
    <t>CpuName</t>
  </si>
  <si>
    <t>Intel(R) Xeon(R) Platinum 8462Y+</t>
  </si>
  <si>
    <t>CpuInfo</t>
  </si>
  <si>
    <t>128 core max 4100 MHz</t>
  </si>
  <si>
    <t>Sku</t>
  </si>
  <si>
    <t>C500</t>
  </si>
  <si>
    <t>Host SDK Version</t>
  </si>
  <si>
    <t>3.7.0.37</t>
  </si>
  <si>
    <t>Host driver Version</t>
  </si>
  <si>
    <t>3.7.0.23</t>
  </si>
  <si>
    <t>Vbios</t>
  </si>
  <si>
    <t>1.33.4.0</t>
  </si>
  <si>
    <t>HPC Version</t>
  </si>
  <si>
    <t>3.7.0.6</t>
  </si>
  <si>
    <t>min</t>
  </si>
  <si>
    <t>Case Name</t>
  </si>
  <si>
    <t>Branch</t>
  </si>
  <si>
    <t>Metric Golden</t>
  </si>
  <si>
    <t>Metric Unit</t>
  </si>
  <si>
    <t>C500 3.7.0.x</t>
  </si>
  <si>
    <t>C500 3.5.3.x</t>
  </si>
  <si>
    <t>C500  3.7.0.x/C500  3.5.3.x（波动范围在95~105%以内可接受，否则备注原因）</t>
  </si>
  <si>
    <t>Notes</t>
  </si>
  <si>
    <t>aimodels_aurora_test</t>
  </si>
  <si>
    <t>maca</t>
  </si>
  <si>
    <t>s/step</t>
  </si>
  <si>
    <t>5.851</t>
  </si>
  <si>
    <t>5.742</t>
  </si>
  <si>
    <t>aimodels_fengwu_v1_test</t>
  </si>
  <si>
    <t>5.468</t>
  </si>
  <si>
    <t>5.772</t>
  </si>
  <si>
    <t>预期内优化</t>
  </si>
  <si>
    <t>aimodels_fengwu_v2_test</t>
  </si>
  <si>
    <t>5.474</t>
  </si>
  <si>
    <t>5.781</t>
  </si>
  <si>
    <t>aimodels_fourcast_v1_test</t>
  </si>
  <si>
    <t>0.546</t>
  </si>
  <si>
    <t>0.647</t>
  </si>
  <si>
    <t>aimodels_fourcast_v2_test</t>
  </si>
  <si>
    <t>0.669</t>
  </si>
  <si>
    <t>0.665</t>
  </si>
  <si>
    <t>aimodels_fuxi_test</t>
  </si>
  <si>
    <t>1.113</t>
  </si>
  <si>
    <t>1.110</t>
  </si>
  <si>
    <t>aimodels_pangu_test</t>
  </si>
  <si>
    <t>1.801</t>
  </si>
  <si>
    <t>1.972</t>
  </si>
  <si>
    <t>bindcraft_binder_hallucination_test</t>
  </si>
  <si>
    <t>master</t>
  </si>
  <si>
    <t>s</t>
  </si>
  <si>
    <t>3.229</t>
  </si>
  <si>
    <t>3.277</t>
  </si>
  <si>
    <t>boltz_test_ahcy</t>
  </si>
  <si>
    <t>117.046</t>
  </si>
  <si>
    <t>108.742</t>
  </si>
  <si>
    <t>解压加载耗时增加导致的性能回退，暂不需处理，详见MC3-9335</t>
  </si>
  <si>
    <t>boltz_test_fkbp1a</t>
  </si>
  <si>
    <t>78.495</t>
  </si>
  <si>
    <t>69.159</t>
  </si>
  <si>
    <t>boltz_test_nr1h2</t>
  </si>
  <si>
    <t>97.253</t>
  </si>
  <si>
    <t>87.148</t>
  </si>
  <si>
    <t>boltz_test_tyk2</t>
  </si>
  <si>
    <t>97.649</t>
  </si>
  <si>
    <t>90.376</t>
  </si>
  <si>
    <t>cell2location_c2l_regression_test</t>
  </si>
  <si>
    <t>5.293</t>
  </si>
  <si>
    <t>4.916</t>
  </si>
  <si>
    <t>解压加载耗时增加导致的性能回退，暂不需处理，详见MC3-9336</t>
  </si>
  <si>
    <t>cell2location_c2l_test</t>
  </si>
  <si>
    <t>4.986</t>
  </si>
  <si>
    <t>4.552</t>
  </si>
  <si>
    <t>cudilithium_benchmark_keypair</t>
  </si>
  <si>
    <t>us</t>
  </si>
  <si>
    <t>40420.400</t>
  </si>
  <si>
    <t>41101.733</t>
  </si>
  <si>
    <t>cudilithium_benchmark_sign</t>
  </si>
  <si>
    <t>95303.433</t>
  </si>
  <si>
    <t>95177.567</t>
  </si>
  <si>
    <t>cudilithium_benchmark_verify</t>
  </si>
  <si>
    <t>40768.467</t>
  </si>
  <si>
    <t>41900.600</t>
  </si>
  <si>
    <t>deepxde_pinn_forward_paddle_test</t>
  </si>
  <si>
    <t>undefined</t>
  </si>
  <si>
    <t>119.639</t>
  </si>
  <si>
    <t>116.629</t>
  </si>
  <si>
    <t>deepxde_pinn_forward_pytorch_test</t>
  </si>
  <si>
    <t>83.106</t>
  </si>
  <si>
    <t>83.745</t>
  </si>
  <si>
    <t>diffdock_fwd_test</t>
  </si>
  <si>
    <t>1.233</t>
  </si>
  <si>
    <t>equiformerv2_EquiformerV2.inference-eq2_153M_ec4_allmd-s2ef_val_id_800_samples</t>
  </si>
  <si>
    <t>89.370</t>
  </si>
  <si>
    <t>91.533</t>
  </si>
  <si>
    <t>性能和hpc3.3.0.x结果75.685s对比有回退，详见MC3-6474</t>
  </si>
  <si>
    <t>equiformerv2_EquiformerV2.inference-eq2_31M_ec4_allmd-s2ef_val_id_800_samples</t>
  </si>
  <si>
    <t>27.215</t>
  </si>
  <si>
    <t>28.023</t>
  </si>
  <si>
    <t>性能和hpc3.3.0.x结果22.459s对比有回退，详见MC3-6474</t>
  </si>
  <si>
    <t>equiformerv2_EquiformerV2.inference-eq2_83M_2M-s2ef_val_id_800_samples</t>
  </si>
  <si>
    <t>53.932</t>
  </si>
  <si>
    <t>58.421</t>
  </si>
  <si>
    <t>性能和hpc3.3.0.x结果42.954s对比有回退，详见MC3-6474</t>
  </si>
  <si>
    <t>equiformerv2_EquiformerV2.training-s2ef_200k_400_samples</t>
  </si>
  <si>
    <t>958.756</t>
  </si>
  <si>
    <t>938.622</t>
  </si>
  <si>
    <t>helixfold3_test_6zcy</t>
  </si>
  <si>
    <t>30.661</t>
  </si>
  <si>
    <t>31.232</t>
  </si>
  <si>
    <t>helixfold3_test_7qa9</t>
  </si>
  <si>
    <t>10.582</t>
  </si>
  <si>
    <t>10.305</t>
  </si>
  <si>
    <t>helixfold3_test_8ecx</t>
  </si>
  <si>
    <t>92.198</t>
  </si>
  <si>
    <t>92.813</t>
  </si>
  <si>
    <t>helixfold3_test_8fza</t>
  </si>
  <si>
    <t>10.688</t>
  </si>
  <si>
    <t>10.628</t>
  </si>
  <si>
    <t>htr-solver_Coleman</t>
  </si>
  <si>
    <t>/</t>
  </si>
  <si>
    <t>480.859</t>
  </si>
  <si>
    <t>测试失败，和开发确认是htr本次不发布，详见MC3-10125</t>
  </si>
  <si>
    <t>htr-solver_MultispeciesTBL</t>
  </si>
  <si>
    <t>266.189</t>
  </si>
  <si>
    <t>mattergen_MatterGen.Finetuning.Multi-property</t>
  </si>
  <si>
    <t>1494.528</t>
  </si>
  <si>
    <t>1633.109</t>
  </si>
  <si>
    <t>mattergen_MatterGen.Finetuning.Single-property</t>
  </si>
  <si>
    <t>1486.084</t>
  </si>
  <si>
    <t>1619.615</t>
  </si>
  <si>
    <t>mattergen_MatterGen.Training.mp_20</t>
  </si>
  <si>
    <t>1517.438</t>
  </si>
  <si>
    <t>1669.493</t>
  </si>
  <si>
    <t>moflow_qm9_fwd</t>
  </si>
  <si>
    <t>2.377</t>
  </si>
  <si>
    <t>2.319</t>
  </si>
  <si>
    <t>moflow_qm9_rev</t>
  </si>
  <si>
    <t>2.512</t>
  </si>
  <si>
    <t>2.464</t>
  </si>
  <si>
    <t>moflow_qm9_train</t>
  </si>
  <si>
    <t>8.451</t>
  </si>
  <si>
    <t>moflow_zinc250k_fwd</t>
  </si>
  <si>
    <t>4.816</t>
  </si>
  <si>
    <t>4.712</t>
  </si>
  <si>
    <t>moflow_zinc250k_rev</t>
  </si>
  <si>
    <t>4.383</t>
  </si>
  <si>
    <t>4.356</t>
  </si>
  <si>
    <t>moflow_zinc250k_train</t>
  </si>
  <si>
    <t>12.856</t>
  </si>
  <si>
    <t>12.646</t>
  </si>
  <si>
    <t>nowcastnet_mrms_cast_test</t>
  </si>
  <si>
    <t>1.927</t>
  </si>
  <si>
    <t>1.867</t>
  </si>
  <si>
    <t>nowcastnet_mrms_large_case_test</t>
  </si>
  <si>
    <t>1.623</t>
  </si>
  <si>
    <t>1.650</t>
  </si>
  <si>
    <t>opencfd_benchmark_comp</t>
  </si>
  <si>
    <t>17.552</t>
  </si>
  <si>
    <t>14.642</t>
  </si>
  <si>
    <t>用以对比的3.5.3.x性能值是X201测试结果，确认C500上结果更差是由于锁算力导致的差异</t>
  </si>
  <si>
    <t>openfoam_drivaer_fine_test</t>
  </si>
  <si>
    <t>ms</t>
  </si>
  <si>
    <t>195741.501</t>
  </si>
  <si>
    <t>194164.803</t>
  </si>
  <si>
    <t>openfoam_large_cavity-1M_petsc_test</t>
  </si>
  <si>
    <t>26388.867</t>
  </si>
  <si>
    <t>24490.800</t>
  </si>
  <si>
    <t>openfoam_large_cavity-1M_test</t>
  </si>
  <si>
    <t>12126.133</t>
  </si>
  <si>
    <t>12003.767</t>
  </si>
  <si>
    <t>openfoam_large_cavity-8M_petsc_test</t>
  </si>
  <si>
    <t>220549.000</t>
  </si>
  <si>
    <t>200110.667</t>
  </si>
  <si>
    <t>openfoam_large_cavity-8M_test</t>
  </si>
  <si>
    <t>122529.667</t>
  </si>
  <si>
    <t>122468.667</t>
  </si>
  <si>
    <t>openfoam_large_motorbike_L_mpi8_test</t>
  </si>
  <si>
    <t>32071.691</t>
  </si>
  <si>
    <t>30833.377</t>
  </si>
  <si>
    <t>openfoam_large_motorbike_L_test</t>
  </si>
  <si>
    <t>129067.366</t>
  </si>
  <si>
    <t>127930.069</t>
  </si>
  <si>
    <t>openfoam_large_motorbike_M_test</t>
  </si>
  <si>
    <t>56157.633</t>
  </si>
  <si>
    <t>55507.834</t>
  </si>
  <si>
    <t>openfoam_large_motorbike_test</t>
  </si>
  <si>
    <t>46284.986</t>
  </si>
  <si>
    <t>45475.899</t>
  </si>
  <si>
    <t>openfold_predict_test</t>
  </si>
  <si>
    <t>78.166</t>
  </si>
  <si>
    <t>78.215</t>
  </si>
  <si>
    <t>pepper_ont_perf_test</t>
  </si>
  <si>
    <t>995.220</t>
  </si>
  <si>
    <t>1001.770</t>
  </si>
  <si>
    <t>pepper_ont_transformer_perf_test</t>
  </si>
  <si>
    <t>1483.693</t>
  </si>
  <si>
    <t>1466.950</t>
  </si>
  <si>
    <t>phenglei_CHNT1</t>
  </si>
  <si>
    <t>1.450</t>
  </si>
  <si>
    <t>1.239</t>
  </si>
  <si>
    <t>rcfoundry_mpnn_test</t>
  </si>
  <si>
    <t>maca-0.1.9</t>
  </si>
  <si>
    <t>hpc 3.7.0.x新增支持case</t>
  </si>
  <si>
    <t>rcfoundry_rf3_test</t>
  </si>
  <si>
    <t>rcfoundry_rfd3_test</t>
  </si>
  <si>
    <t>roms_lake_jersey</t>
  </si>
  <si>
    <t>13.746</t>
  </si>
  <si>
    <t>11.927</t>
  </si>
  <si>
    <t>预期内波动，30%以内正常</t>
  </si>
  <si>
    <t>rtm3d-demo_SEG-EAGE-676x676x210</t>
  </si>
  <si>
    <t>93.862</t>
  </si>
  <si>
    <t>92.761</t>
  </si>
  <si>
    <t>saprot_SaProt_650M_AF2_on_Thermostability</t>
  </si>
  <si>
    <t>742.314</t>
  </si>
  <si>
    <t>823.940</t>
  </si>
  <si>
    <t>seg_utils_EpsaResUnet_test</t>
  </si>
  <si>
    <t>34.513</t>
  </si>
  <si>
    <t>34.537</t>
  </si>
  <si>
    <t>sfft_benchmark_test</t>
  </si>
  <si>
    <t>3.965</t>
  </si>
  <si>
    <t>1.747</t>
  </si>
  <si>
    <t>specfem3d_four_material_simple_model_1x</t>
  </si>
  <si>
    <t>153.157</t>
  </si>
  <si>
    <t>152.958</t>
  </si>
  <si>
    <t>tfhe-rs_benchmark_add</t>
  </si>
  <si>
    <t>238.750</t>
  </si>
  <si>
    <t>237.607</t>
  </si>
  <si>
    <t>tfhe-rs_benchmark_bitxor</t>
  </si>
  <si>
    <t>55.925</t>
  </si>
  <si>
    <t>55.780</t>
  </si>
  <si>
    <t>tfhe-rs_benchmark_eq</t>
  </si>
  <si>
    <t>166.410</t>
  </si>
  <si>
    <t>167.140</t>
  </si>
  <si>
    <t>tfhe-rs_benchmark_left_shift</t>
  </si>
  <si>
    <t>823.730</t>
  </si>
  <si>
    <t>820.577</t>
  </si>
  <si>
    <t>tfhe-rs_benchmark_mul</t>
  </si>
  <si>
    <t>2683.500</t>
  </si>
  <si>
    <t>2665.767</t>
  </si>
  <si>
    <t>tfhe-rs_benchmark_sub</t>
  </si>
  <si>
    <t>239.070</t>
  </si>
  <si>
    <t>238.430</t>
  </si>
  <si>
    <t>unidock_autotest_screening</t>
  </si>
  <si>
    <t>368655.333</t>
  </si>
  <si>
    <t>339317.000</t>
  </si>
  <si>
    <t>预期内波动，25%以内正常</t>
  </si>
  <si>
    <t>unifold_perf_bwd</t>
  </si>
  <si>
    <t>21.600</t>
  </si>
  <si>
    <t>23.147</t>
  </si>
  <si>
    <t>unifold_perf_fwd</t>
  </si>
  <si>
    <t>9.638</t>
  </si>
  <si>
    <t>10.046</t>
  </si>
  <si>
    <t>unimol_mcg_infer</t>
  </si>
  <si>
    <t>34.107</t>
  </si>
  <si>
    <t>35.417</t>
  </si>
  <si>
    <t>unimol_plbpp_infer</t>
  </si>
  <si>
    <t>23.211</t>
  </si>
  <si>
    <t>22.996</t>
  </si>
  <si>
    <t>warp_benchmark</t>
  </si>
  <si>
    <t>0.051</t>
  </si>
  <si>
    <t>wrf_easter100</t>
  </si>
  <si>
    <t>0.396</t>
  </si>
  <si>
    <t>0.384</t>
  </si>
  <si>
    <t>atpqc-cuda_benchmark_dec</t>
  </si>
  <si>
    <t>max</t>
  </si>
  <si>
    <t>n/s</t>
  </si>
  <si>
    <t>906439.000</t>
  </si>
  <si>
    <t>911386.933</t>
  </si>
  <si>
    <t>atpqc-cuda_benchmark_enc</t>
  </si>
  <si>
    <t>810531.500</t>
  </si>
  <si>
    <t>809485.300</t>
  </si>
  <si>
    <t>atpqc-cuda_benchmark_keypair</t>
  </si>
  <si>
    <t>934894.233</t>
  </si>
  <si>
    <t>935368.833</t>
  </si>
  <si>
    <t>bonito_effi_test</t>
  </si>
  <si>
    <t>Msamples/s</t>
  </si>
  <si>
    <t>3.813</t>
  </si>
  <si>
    <t>3.823</t>
  </si>
  <si>
    <t>bonito_throughout_test</t>
  </si>
  <si>
    <t>Ksamples/s</t>
  </si>
  <si>
    <t>988.333</t>
  </si>
  <si>
    <t>931.333</t>
  </si>
  <si>
    <t>darwin_Darwin-7b-1.0@infer-hf@matbench_expt_gap</t>
  </si>
  <si>
    <t>tokens/s</t>
  </si>
  <si>
    <t>1706.743</t>
  </si>
  <si>
    <t>3789.159</t>
  </si>
  <si>
    <t>相关修改后的预期内性能下降</t>
  </si>
  <si>
    <t>darwin_Darwin-7b-1.5@infer-hf@matbench_expt_gap</t>
  </si>
  <si>
    <t>2881.523</t>
  </si>
  <si>
    <t>9258.250</t>
  </si>
  <si>
    <t>dgl_autotest_perf_UT_COMMON</t>
  </si>
  <si>
    <t>maca-2.4.0</t>
  </si>
  <si>
    <t>items</t>
  </si>
  <si>
    <t>2286.000</t>
  </si>
  <si>
    <t>dgl_autotest_perf_UT_PYTORCH</t>
  </si>
  <si>
    <t>5265.000</t>
  </si>
  <si>
    <t>hashcat_ex00400-test</t>
  </si>
  <si>
    <t>kH/s</t>
  </si>
  <si>
    <t>8190.167</t>
  </si>
  <si>
    <t>7991.933</t>
  </si>
  <si>
    <t>hashcat_ex00500-test</t>
  </si>
  <si>
    <t>5450.600</t>
  </si>
  <si>
    <t>5281.667</t>
  </si>
  <si>
    <t>hashcat_ex01000-test</t>
  </si>
  <si>
    <t>MH/s</t>
  </si>
  <si>
    <t>11860.667</t>
  </si>
  <si>
    <t>11872.033</t>
  </si>
  <si>
    <t>hashcat_ex01500-test</t>
  </si>
  <si>
    <t>398.400</t>
  </si>
  <si>
    <t>389.667</t>
  </si>
  <si>
    <t>hashcat_ex13400-test</t>
  </si>
  <si>
    <t>418.167</t>
  </si>
  <si>
    <t>412.067</t>
  </si>
  <si>
    <t>hashcat_ex17800-test</t>
  </si>
  <si>
    <t>869.400</t>
  </si>
  <si>
    <t>830.667</t>
  </si>
  <si>
    <t>hashcat_perf-test</t>
  </si>
  <si>
    <t>12435.900</t>
  </si>
  <si>
    <t>12235.567</t>
  </si>
  <si>
    <t>ktransformers_Qwen3_235B_1_batch_test</t>
  </si>
  <si>
    <t>maca-v0.3</t>
  </si>
  <si>
    <t>TPS</t>
  </si>
  <si>
    <t>9.622</t>
  </si>
  <si>
    <t>9.353</t>
  </si>
  <si>
    <t>ktransformers_Qwen3_235B_4_batch_test</t>
  </si>
  <si>
    <t>21.678</t>
  </si>
  <si>
    <t>22.503</t>
  </si>
  <si>
    <t>ktransformers_R1_1_batch_test</t>
  </si>
  <si>
    <t>14.392</t>
  </si>
  <si>
    <t>14.142</t>
  </si>
  <si>
    <t>ktransformers_R1_4_batch_test</t>
  </si>
  <si>
    <t>21.285</t>
  </si>
  <si>
    <t>22.281</t>
  </si>
  <si>
    <t>paddlescience_adv</t>
  </si>
  <si>
    <t>9799.390</t>
  </si>
  <si>
    <t>9889.220</t>
  </si>
  <si>
    <t>paddlescience_aneurysm</t>
  </si>
  <si>
    <t>58780.493</t>
  </si>
  <si>
    <t>55206.620</t>
  </si>
  <si>
    <t>paddlescience_cylinder</t>
  </si>
  <si>
    <t>359.680</t>
  </si>
  <si>
    <t>362.720</t>
  </si>
  <si>
    <t>paddlescience_darcy</t>
  </si>
  <si>
    <t>530110.107</t>
  </si>
  <si>
    <t>480666.490</t>
  </si>
  <si>
    <t>paddlescience_euler_beam</t>
  </si>
  <si>
    <t>7115.567</t>
  </si>
  <si>
    <t>7382.140</t>
  </si>
  <si>
    <t>paddlescience_heat_pinn</t>
  </si>
  <si>
    <t>933970.380</t>
  </si>
  <si>
    <t>942621.400</t>
  </si>
  <si>
    <t>paddlescience_laplace2d</t>
  </si>
  <si>
    <t>2090065.177</t>
  </si>
  <si>
    <t>2108224.280</t>
  </si>
  <si>
    <t>paddlescience_ldc</t>
  </si>
  <si>
    <t>82266.187</t>
  </si>
  <si>
    <t>81679.270</t>
  </si>
  <si>
    <t>paddlescience_spinn</t>
  </si>
  <si>
    <t>3810.633</t>
  </si>
  <si>
    <t>3844.500</t>
  </si>
  <si>
    <t>pyg_lib_unit_test</t>
  </si>
  <si>
    <t>maca-0.4.0</t>
  </si>
  <si>
    <t>cases</t>
  </si>
  <si>
    <t>18.000</t>
  </si>
  <si>
    <t>Function</t>
  </si>
  <si>
    <t>aimodels_aifs_test</t>
  </si>
  <si>
    <t>功能测试pass</t>
  </si>
  <si>
    <t>aimodels_gencast_test</t>
  </si>
  <si>
    <t>aimodels_graphcast_test</t>
  </si>
  <si>
    <t>alignn_ALIGNN.Training.Force-field</t>
  </si>
  <si>
    <t>alignn_ALIGNN.Training.Multi-output</t>
  </si>
  <si>
    <t>alignn_ALIGNN.Training.Regression</t>
  </si>
  <si>
    <t>alignn_ALIGNN.unit_test_release</t>
  </si>
  <si>
    <t>amrex_HeatEquation</t>
  </si>
  <si>
    <t>atpqc-cuda_test_1024</t>
  </si>
  <si>
    <t>atpqc-cuda_test_512</t>
  </si>
  <si>
    <t>atpqc-cuda_test_768</t>
  </si>
  <si>
    <t>aviary_Aviary.cgcnn</t>
  </si>
  <si>
    <t>aviary_Aviary.roost</t>
  </si>
  <si>
    <t>aviary_Aviary.wren</t>
  </si>
  <si>
    <t>aviary_unit_test_release</t>
  </si>
  <si>
    <t>bonito_verify_test</t>
  </si>
  <si>
    <t>cudarc_test</t>
  </si>
  <si>
    <t>ftorch_unittest</t>
  </si>
  <si>
    <t>matgl_unit_test_release</t>
  </si>
  <si>
    <t>mattergen_MatterGen.Evaluating.mattersim-v1.0.0-5M</t>
  </si>
  <si>
    <t>mattergen_MatterGen.Generating.Multiple_property-conditioned-generation</t>
  </si>
  <si>
    <t>mattergen_MatterGen.Generating.Property-conditioned-generation</t>
  </si>
  <si>
    <t>mattergen_MatterGen.Generating.Unconditional-generation</t>
  </si>
  <si>
    <t>neuralgcm_deterministic_1_4_deg</t>
  </si>
  <si>
    <t>openfoam_cavity_mpi_test</t>
  </si>
  <si>
    <t>openfoam_cavity_single_test</t>
  </si>
  <si>
    <t>openfoam_motorbike_mpi_test</t>
  </si>
  <si>
    <t>openfoam_motorbike_single_test</t>
  </si>
  <si>
    <t>openfoam_pimplefoam_mpi_test</t>
  </si>
  <si>
    <t>openfoam_pimplefoam_single_test</t>
  </si>
  <si>
    <t>pepper_verify_test</t>
  </si>
  <si>
    <t>physicsnemo_run_pytest</t>
  </si>
  <si>
    <t>spagcn_verify_test</t>
  </si>
  <si>
    <t>sppark_test</t>
  </si>
  <si>
    <t>tfhe-rs_test</t>
  </si>
  <si>
    <t>warp_test_atomic</t>
  </si>
  <si>
    <t>warp_test_examples</t>
  </si>
  <si>
    <t>warp_test_fp16</t>
  </si>
  <si>
    <t>warp_test_spatial</t>
  </si>
  <si>
    <t>X201</t>
  </si>
  <si>
    <t>abacus_dataset1-pw/000_4GaAs</t>
  </si>
  <si>
    <t>33.995</t>
  </si>
  <si>
    <t>33.485</t>
  </si>
  <si>
    <t>abacus_dataset1-pw/001_C2H6O</t>
  </si>
  <si>
    <t>88.088</t>
  </si>
  <si>
    <t>86.257</t>
  </si>
  <si>
    <t>abacus_dataset1-pw/002_4MoS2</t>
  </si>
  <si>
    <t>145.469</t>
  </si>
  <si>
    <t>145.044</t>
  </si>
  <si>
    <t>abacus_dataset1-pw/003_12Pt111</t>
  </si>
  <si>
    <t>121.635</t>
  </si>
  <si>
    <t>118.008</t>
  </si>
  <si>
    <t>abacus_dataset1-pw/004_3BaTiO3</t>
  </si>
  <si>
    <t>615.426</t>
  </si>
  <si>
    <t>597.466</t>
  </si>
  <si>
    <t>abacus_dataset1-pw/005_16Na</t>
  </si>
  <si>
    <t>493.032</t>
  </si>
  <si>
    <t>481.544</t>
  </si>
  <si>
    <t>abacus_dataset1-pw/006_27Fe</t>
  </si>
  <si>
    <t>1252.620</t>
  </si>
  <si>
    <t>1216.137</t>
  </si>
  <si>
    <t>abacus_dataset1-pw/007_32H2O</t>
  </si>
  <si>
    <t>42.915</t>
  </si>
  <si>
    <t>42.500</t>
  </si>
  <si>
    <t>abacus_dataset1-pw/008_Li27Ni9O54Mn9Co9</t>
  </si>
  <si>
    <t>356.660</t>
  </si>
  <si>
    <t>352.735</t>
  </si>
  <si>
    <t>abacus_dataset1-pw/009_216Si</t>
  </si>
  <si>
    <t>473.079</t>
  </si>
  <si>
    <t>470.142</t>
  </si>
  <si>
    <t>abacus_si16_pw</t>
  </si>
  <si>
    <t>21.568</t>
  </si>
  <si>
    <t>21.066</t>
  </si>
  <si>
    <t>abacus-spin_hpc.abacus-spin.Fe</t>
  </si>
  <si>
    <t>maca-spin</t>
  </si>
  <si>
    <t>1946.970</t>
  </si>
  <si>
    <t>abacus-spin_hpc.abacus-spin.YMn2</t>
  </si>
  <si>
    <t>0.548</t>
  </si>
  <si>
    <t>alphafold3_alwz_test</t>
  </si>
  <si>
    <t>44.340</t>
  </si>
  <si>
    <t>45.817</t>
  </si>
  <si>
    <t>autodock_perf_test</t>
  </si>
  <si>
    <t>28.965</t>
  </si>
  <si>
    <t>29.087</t>
  </si>
  <si>
    <t>bart_fastMRI</t>
  </si>
  <si>
    <t>131.670</t>
  </si>
  <si>
    <t>basenji2_evoformer_test</t>
  </si>
  <si>
    <t>37.990</t>
  </si>
  <si>
    <t>37.943</t>
  </si>
  <si>
    <t>blastp_perf_test</t>
  </si>
  <si>
    <t>312.468</t>
  </si>
  <si>
    <t>311.933</t>
  </si>
  <si>
    <t>blastp_total_perf_test</t>
  </si>
  <si>
    <t>3523.950</t>
  </si>
  <si>
    <t>3536.357</t>
  </si>
  <si>
    <t>cem_MeshZoo</t>
  </si>
  <si>
    <t>52.646</t>
  </si>
  <si>
    <t>54.105</t>
  </si>
  <si>
    <t>cp2k_H2O-64</t>
  </si>
  <si>
    <t>maca-v2025.2</t>
  </si>
  <si>
    <t>114.852</t>
  </si>
  <si>
    <t>114.265</t>
  </si>
  <si>
    <t>cp2k_Si</t>
  </si>
  <si>
    <t>2.570</t>
  </si>
  <si>
    <t>2.538</t>
  </si>
  <si>
    <t>deepcfd_test</t>
  </si>
  <si>
    <t>s/epoch</t>
  </si>
  <si>
    <t>0.755</t>
  </si>
  <si>
    <t>0.777</t>
  </si>
  <si>
    <t>deepmd-kit_DeePMD-kit.water-dpa2-large-train</t>
  </si>
  <si>
    <t>maca-3.0.0</t>
  </si>
  <si>
    <t>s/batch</t>
  </si>
  <si>
    <t>0.157</t>
  </si>
  <si>
    <t>0.163</t>
  </si>
  <si>
    <t>maca-3.1.1</t>
  </si>
  <si>
    <t>0.152</t>
  </si>
  <si>
    <t>0.155</t>
  </si>
  <si>
    <t>deepmd-kit_DeePMD-kit.water-dpa2-medium-train</t>
  </si>
  <si>
    <t>0.088</t>
  </si>
  <si>
    <t>0.090</t>
  </si>
  <si>
    <t>0.084</t>
  </si>
  <si>
    <t>0.085</t>
  </si>
  <si>
    <t>deepmd-kit_DeePMD-kit.water-dpa2-small-train</t>
  </si>
  <si>
    <t>0.037</t>
  </si>
  <si>
    <t>0.033</t>
  </si>
  <si>
    <t>deepmd-kit_DeePMD-kit.water-dpa3-train</t>
  </si>
  <si>
    <t>0.130</t>
  </si>
  <si>
    <t>deepmd-kit_DeePMD-kit.water-se_atten-train</t>
  </si>
  <si>
    <t>0.048</t>
  </si>
  <si>
    <t>0.045</t>
  </si>
  <si>
    <t>deepmd-kit_DeePMD-kit.water-se_e2_a-train</t>
  </si>
  <si>
    <t>0.012</t>
  </si>
  <si>
    <t>0.014</t>
  </si>
  <si>
    <t>0.011</t>
  </si>
  <si>
    <t>88.387</t>
  </si>
  <si>
    <t>27.282</t>
  </si>
  <si>
    <t>959.282</t>
  </si>
  <si>
    <t>esm3_generate_250_test</t>
  </si>
  <si>
    <t>maca-3.3.2post0</t>
  </si>
  <si>
    <t>18.462</t>
  </si>
  <si>
    <t>17.804</t>
  </si>
  <si>
    <t>ginkgo_cfd1_gmres_test</t>
  </si>
  <si>
    <t>8.743</t>
  </si>
  <si>
    <t>8.732</t>
  </si>
  <si>
    <t>ginkgo_raefsky3_bicgstab_test</t>
  </si>
  <si>
    <t>1.710</t>
  </si>
  <si>
    <t>1.724</t>
  </si>
  <si>
    <t>ginkgo_raefsky3_gmres_test</t>
  </si>
  <si>
    <t>9.412</t>
  </si>
  <si>
    <t>10.683</t>
  </si>
  <si>
    <t>ginkgo_stocf-1465_bicgstab_test</t>
  </si>
  <si>
    <t>16.693</t>
  </si>
  <si>
    <t>17.356</t>
  </si>
  <si>
    <t>ginkgo_stocf-1465_gmres_test</t>
  </si>
  <si>
    <t>37.613</t>
  </si>
  <si>
    <t>38.840</t>
  </si>
  <si>
    <t>测试失败，和开发确认是htr本次不发布，详见MC3-7591</t>
  </si>
  <si>
    <t>1483.985</t>
  </si>
  <si>
    <t>1467.902</t>
  </si>
  <si>
    <t>1509.694</t>
  </si>
  <si>
    <t>monai_Abdomen_totalSeg</t>
  </si>
  <si>
    <t>maca-1.4.0</t>
  </si>
  <si>
    <t>2.864</t>
  </si>
  <si>
    <t>2.985</t>
  </si>
  <si>
    <t>monai_brats_mri_segmentation.val</t>
  </si>
  <si>
    <t>36.000</t>
  </si>
  <si>
    <t>monai_nnDetection_Task007_Pancreas</t>
  </si>
  <si>
    <t>429.667</t>
  </si>
  <si>
    <t>431.333</t>
  </si>
  <si>
    <t>monai_nnunet_train_Task02_Heart_3d_fullres</t>
  </si>
  <si>
    <t>389.000</t>
  </si>
  <si>
    <t>396.667</t>
  </si>
  <si>
    <t>monai_train_Task01_short</t>
  </si>
  <si>
    <t>30.045</t>
  </si>
  <si>
    <t>28.203</t>
  </si>
  <si>
    <t>波动范围内，10%以内正常</t>
  </si>
  <si>
    <t>namd_apoa1</t>
  </si>
  <si>
    <t>days/ns</t>
  </si>
  <si>
    <t>namd_f1atpase</t>
  </si>
  <si>
    <t>0.146</t>
  </si>
  <si>
    <t>0.142</t>
  </si>
  <si>
    <t>namd_stmv</t>
  </si>
  <si>
    <t>0.477</t>
  </si>
  <si>
    <t>0.460</t>
  </si>
  <si>
    <t>13.946</t>
  </si>
  <si>
    <t>194615.936</t>
  </si>
  <si>
    <t>24446.000</t>
  </si>
  <si>
    <t>12046.900</t>
  </si>
  <si>
    <t>198351.000</t>
  </si>
  <si>
    <t>122664.000</t>
  </si>
  <si>
    <t>31527.373</t>
  </si>
  <si>
    <t>128280.588</t>
  </si>
  <si>
    <t>55723.271</t>
  </si>
  <si>
    <t>46001.793</t>
  </si>
  <si>
    <t>1.243</t>
  </si>
  <si>
    <t>pwdft_si128</t>
  </si>
  <si>
    <t>563.538</t>
  </si>
  <si>
    <t>559.552</t>
  </si>
  <si>
    <t>pwdft_si64</t>
  </si>
  <si>
    <t>84.834</t>
  </si>
  <si>
    <t>84.136</t>
  </si>
  <si>
    <t>pypwdft_si216</t>
  </si>
  <si>
    <t>92.718</t>
  </si>
  <si>
    <t>93.447</t>
  </si>
  <si>
    <t>relion_0_cuda_kernel_backproject2D</t>
  </si>
  <si>
    <t>10.437</t>
  </si>
  <si>
    <t>11.034</t>
  </si>
  <si>
    <t>relion_0_cuda_kernel_backproject3D</t>
  </si>
  <si>
    <t>81.568</t>
  </si>
  <si>
    <t>82.874</t>
  </si>
  <si>
    <t>relion_0_cuda_kernel_diff2_coarse2D</t>
  </si>
  <si>
    <t>3.456</t>
  </si>
  <si>
    <t>3.499</t>
  </si>
  <si>
    <t>relion_0_cuda_kernel_diff2_coarse3D</t>
  </si>
  <si>
    <t>33.474</t>
  </si>
  <si>
    <t>33.904</t>
  </si>
  <si>
    <t>relion_0_cuda_kernel_wavg2D</t>
  </si>
  <si>
    <t>63.286</t>
  </si>
  <si>
    <t>63.938</t>
  </si>
  <si>
    <t>relion_0_cuda_kernel_wavg3D</t>
  </si>
  <si>
    <t>9.176</t>
  </si>
  <si>
    <t>9.657</t>
  </si>
  <si>
    <t>relion_1_cuda_kernel_backproject2D</t>
  </si>
  <si>
    <t>2.517</t>
  </si>
  <si>
    <t>2.528</t>
  </si>
  <si>
    <t>relion_1_cuda_kernel_backproject3D</t>
  </si>
  <si>
    <t>30.092</t>
  </si>
  <si>
    <t>30.202</t>
  </si>
  <si>
    <t>relion_1_cuda_kernel_diff2_coarse2D</t>
  </si>
  <si>
    <t>3.368</t>
  </si>
  <si>
    <t>3.436</t>
  </si>
  <si>
    <t>relion_1_cuda_kernel_diff2_coarse3D</t>
  </si>
  <si>
    <t>19.475</t>
  </si>
  <si>
    <t>19.878</t>
  </si>
  <si>
    <t>relion_1_cuda_kernel_wavg2D</t>
  </si>
  <si>
    <t>43.844</t>
  </si>
  <si>
    <t>42.516</t>
  </si>
  <si>
    <t>relion_1_cuda_kernel_wavg3D</t>
  </si>
  <si>
    <t>5.367</t>
  </si>
  <si>
    <t>5.841</t>
  </si>
  <si>
    <t>relion_medium_2d</t>
  </si>
  <si>
    <t>939.000</t>
  </si>
  <si>
    <t>616.667</t>
  </si>
  <si>
    <t>性能回退，详见MC3-9216</t>
  </si>
  <si>
    <t>relion_medium_3d</t>
  </si>
  <si>
    <t>581.000</t>
  </si>
  <si>
    <t>534.333</t>
  </si>
  <si>
    <t>rhmc_unit_test</t>
  </si>
  <si>
    <t>1711.000</t>
  </si>
  <si>
    <t>1731.000</t>
  </si>
  <si>
    <t>rhmc_unit_test_1X2</t>
  </si>
  <si>
    <t>1061.000</t>
  </si>
  <si>
    <t>1080.000</t>
  </si>
  <si>
    <t>rhmc_unit_test_1X4</t>
  </si>
  <si>
    <t>672.000</t>
  </si>
  <si>
    <t>711.333</t>
  </si>
  <si>
    <t>rhmc_unit_test_1X8</t>
  </si>
  <si>
    <t>441.333</t>
  </si>
  <si>
    <t>479.000</t>
  </si>
  <si>
    <t>13.349</t>
  </si>
  <si>
    <t>波动范围内，30%以内正常</t>
  </si>
  <si>
    <t>93.985</t>
  </si>
  <si>
    <t>1.760</t>
  </si>
  <si>
    <t>153.251</t>
  </si>
  <si>
    <t>vasp_B.hR105</t>
  </si>
  <si>
    <t>346.557</t>
  </si>
  <si>
    <t>325.306</t>
  </si>
  <si>
    <t>vasp_B.hR105_2gpus</t>
  </si>
  <si>
    <t>197.962</t>
  </si>
  <si>
    <t>232.209</t>
  </si>
  <si>
    <t>vasp将逐步被VASP-OpenACC 替代，因此暂不关注vasp性能</t>
  </si>
  <si>
    <t>vasp_B.hR105_4gpus</t>
  </si>
  <si>
    <t>124.624</t>
  </si>
  <si>
    <t>119.091</t>
  </si>
  <si>
    <t>vasp_B.hR105_8gpus</t>
  </si>
  <si>
    <t>93.641</t>
  </si>
  <si>
    <t>95.360</t>
  </si>
  <si>
    <t>vasp_large_scf</t>
  </si>
  <si>
    <t>173.541</t>
  </si>
  <si>
    <t>148.660</t>
  </si>
  <si>
    <t>vasp_siHugeShort</t>
  </si>
  <si>
    <t>417.123</t>
  </si>
  <si>
    <t>367.936</t>
  </si>
  <si>
    <t>vasp_siHugeShort_2gpus</t>
  </si>
  <si>
    <t>397.708</t>
  </si>
  <si>
    <t>372.225</t>
  </si>
  <si>
    <t>vasp_siHugeShort_4gpus</t>
  </si>
  <si>
    <t>345.401</t>
  </si>
  <si>
    <t>326.599</t>
  </si>
  <si>
    <t>vasp_siHugeShort_8gpus</t>
  </si>
  <si>
    <t>373.122</t>
  </si>
  <si>
    <t>367.787</t>
  </si>
  <si>
    <t>vasp_silicaIFPEN</t>
  </si>
  <si>
    <t>427.454</t>
  </si>
  <si>
    <t>410.578</t>
  </si>
  <si>
    <t>vasp_silicaIFPEN_2gpus</t>
  </si>
  <si>
    <t>365.008</t>
  </si>
  <si>
    <t>308.534</t>
  </si>
  <si>
    <t>vasp_silicaIFPEN_4gpus</t>
  </si>
  <si>
    <t>221.307</t>
  </si>
  <si>
    <t>196.009</t>
  </si>
  <si>
    <t>vasp_silicaIFPEN_8gpus</t>
  </si>
  <si>
    <t>144.077</t>
  </si>
  <si>
    <t>132.375</t>
  </si>
  <si>
    <t>vasp_small_scf</t>
  </si>
  <si>
    <t>12.685</t>
  </si>
  <si>
    <t>9.633</t>
  </si>
  <si>
    <t>vasp-openacc_B.hR105</t>
  </si>
  <si>
    <t>166.228</t>
  </si>
  <si>
    <t>160.752</t>
  </si>
  <si>
    <t>vasp-openacc_opt_blind6_234_exp</t>
  </si>
  <si>
    <t>509.891</t>
  </si>
  <si>
    <t>478.938</t>
  </si>
  <si>
    <t>性能回退，详见MC3-9545</t>
  </si>
  <si>
    <t>vasp-openacc_siHugeShort</t>
  </si>
  <si>
    <t>224.985</t>
  </si>
  <si>
    <t>223.208</t>
  </si>
  <si>
    <t>vasp-openacc_silicaIFPEN</t>
  </si>
  <si>
    <t>325.964</t>
  </si>
  <si>
    <t>293.000</t>
  </si>
  <si>
    <t>warpx_run_benchmark_automated_test_1_uniform_rest_32ppc</t>
  </si>
  <si>
    <t>0.297</t>
  </si>
  <si>
    <t>0.275</t>
  </si>
  <si>
    <t>warpx_run_benchmark_automated_test_2_uniform_rest_1ppc</t>
  </si>
  <si>
    <t>0.986</t>
  </si>
  <si>
    <t>0.997</t>
  </si>
  <si>
    <t>warpx_run_benchmark_automated_test_3_uniform_drift_4ppc</t>
  </si>
  <si>
    <t>0.587</t>
  </si>
  <si>
    <t>warpx_run_benchmark_automated_test_4_labdiags_2ppc</t>
  </si>
  <si>
    <t>0.144</t>
  </si>
  <si>
    <t>0.150</t>
  </si>
  <si>
    <t>warpx_run_benchmark_automated_test_5_loadimbalance</t>
  </si>
  <si>
    <t>0.043</t>
  </si>
  <si>
    <t>warpx_run_benchmark_automated_test_6_output_2ppc</t>
  </si>
  <si>
    <t>0.581</t>
  </si>
  <si>
    <t>0.567</t>
  </si>
  <si>
    <t>warpx_run_mpi_1x8</t>
  </si>
  <si>
    <t>0.247</t>
  </si>
  <si>
    <t>0.250</t>
  </si>
  <si>
    <t>0.370</t>
  </si>
  <si>
    <t>amber_binhai_case_DPFP_test</t>
  </si>
  <si>
    <t>ns/day</t>
  </si>
  <si>
    <t>36.870</t>
  </si>
  <si>
    <t>36.430</t>
  </si>
  <si>
    <t>amber_binhai_case_SPFP_test</t>
  </si>
  <si>
    <t>63.770</t>
  </si>
  <si>
    <t>66.340</t>
  </si>
  <si>
    <t>amber_Cellulose_production_NPT_4fs_DPFP_test</t>
  </si>
  <si>
    <t>37.610</t>
  </si>
  <si>
    <t>37.713</t>
  </si>
  <si>
    <t>amber_Cellulose_production_NPT_4fs_test</t>
  </si>
  <si>
    <t>70.990</t>
  </si>
  <si>
    <t>71.350</t>
  </si>
  <si>
    <t>amber_Cellulose_production_NVE_4fs</t>
  </si>
  <si>
    <t>72.240</t>
  </si>
  <si>
    <t>73.670</t>
  </si>
  <si>
    <t>amber_Cellulose_production_NVE_4fs_DPFP</t>
  </si>
  <si>
    <t>38.540</t>
  </si>
  <si>
    <t>38.500</t>
  </si>
  <si>
    <t>amber_FactorIX_production_NPT_4fs_DPFP_test</t>
  </si>
  <si>
    <t>155.320</t>
  </si>
  <si>
    <t>153.610</t>
  </si>
  <si>
    <t>amber_FactorIX_production_NPT_4fs_test</t>
  </si>
  <si>
    <t>271.860</t>
  </si>
  <si>
    <t>272.920</t>
  </si>
  <si>
    <t>amber_FactorIX_production_NVE_4fs_DPFP_test</t>
  </si>
  <si>
    <t>153.880</t>
  </si>
  <si>
    <t>157.760</t>
  </si>
  <si>
    <t>amber_FactorIX_production_NVE_4fs_test</t>
  </si>
  <si>
    <t>264.033</t>
  </si>
  <si>
    <t>270.023</t>
  </si>
  <si>
    <t>amber_JAC_production_NPT_4fs_DPFP_test</t>
  </si>
  <si>
    <t>402.640</t>
  </si>
  <si>
    <t>403.793</t>
  </si>
  <si>
    <t>amber_JAC_production_NPT_4fs_test</t>
  </si>
  <si>
    <t>606.870</t>
  </si>
  <si>
    <t>609.383</t>
  </si>
  <si>
    <t>amber_JAC_production_NVE_4fs_DPFP_test</t>
  </si>
  <si>
    <t>411.240</t>
  </si>
  <si>
    <t>412.997</t>
  </si>
  <si>
    <t>amber_JAC_production_NVE_4fs_test</t>
  </si>
  <si>
    <t>624.230</t>
  </si>
  <si>
    <t>629.430</t>
  </si>
  <si>
    <t>amber_STMV_production_NPT_4fs_DPFP_test</t>
  </si>
  <si>
    <t>14.280</t>
  </si>
  <si>
    <t>14.330</t>
  </si>
  <si>
    <t>amber_STMV_production_NPT_4fs_test</t>
  </si>
  <si>
    <t>26.660</t>
  </si>
  <si>
    <t>25.690</t>
  </si>
  <si>
    <t>amber_STMV_production_NVE_4fs_DPFP_test</t>
  </si>
  <si>
    <t>14.260</t>
  </si>
  <si>
    <t>amber_STMV_production_NVE_4fs_test</t>
  </si>
  <si>
    <t>27.740</t>
  </si>
  <si>
    <t>27.990</t>
  </si>
  <si>
    <t>1708.736</t>
  </si>
  <si>
    <t>3817.923</t>
  </si>
  <si>
    <t>2858.319</t>
  </si>
  <si>
    <t>9387.322</t>
  </si>
  <si>
    <t>deepmd-kit_DeePMD-kit.water-se_atten-infer</t>
  </si>
  <si>
    <t>2.969</t>
  </si>
  <si>
    <t>2.916</t>
  </si>
  <si>
    <t>2.987</t>
  </si>
  <si>
    <t>deepmd-kit_DeePMD-kit.water-se_e2_a-infer</t>
  </si>
  <si>
    <t>9.481</t>
  </si>
  <si>
    <t>9.093</t>
  </si>
  <si>
    <t>9.480</t>
  </si>
  <si>
    <t>grid_test_1X2</t>
  </si>
  <si>
    <t>mflop/s</t>
  </si>
  <si>
    <t>3950690.000</t>
  </si>
  <si>
    <t>3973050.000</t>
  </si>
  <si>
    <t>性能和hpc3.2.1.x结果4267233.333对比有回退，已有MC3-3698、MC3-9214</t>
  </si>
  <si>
    <t>grid_test_1X4</t>
  </si>
  <si>
    <t>7889550.000</t>
  </si>
  <si>
    <t>7887826.667</t>
  </si>
  <si>
    <t>grid_test_1X8</t>
  </si>
  <si>
    <t>15012600.000</t>
  </si>
  <si>
    <t>14168700.000</t>
  </si>
  <si>
    <t>性能和hpc3.2.1.x结果15780900.000对比有回退，已有MC3-3698、MC3-9214</t>
  </si>
  <si>
    <t>grid_unit_test</t>
  </si>
  <si>
    <t>1970050.000</t>
  </si>
  <si>
    <t>1980916.667</t>
  </si>
  <si>
    <t>gromacs_common_4gpus</t>
  </si>
  <si>
    <t>gmx2023-maca</t>
  </si>
  <si>
    <t>2.688</t>
  </si>
  <si>
    <t>2.684</t>
  </si>
  <si>
    <t>gromacs_test_FEP_COMPLEX</t>
  </si>
  <si>
    <t>gmx2026-fep-gpu-maca</t>
  </si>
  <si>
    <t>157.699</t>
  </si>
  <si>
    <t>gmx2026-maca</t>
  </si>
  <si>
    <t>139.379</t>
  </si>
  <si>
    <t>gromacs_test_FEP_LIGAND</t>
  </si>
  <si>
    <t>261.861</t>
  </si>
  <si>
    <t>232.840</t>
  </si>
  <si>
    <t>gromacs_test_Her1</t>
  </si>
  <si>
    <t>21.822</t>
  </si>
  <si>
    <t>21.923</t>
  </si>
  <si>
    <t>gromacs_test_MEM</t>
  </si>
  <si>
    <t>117.097</t>
  </si>
  <si>
    <t>117.830</t>
  </si>
  <si>
    <t>gromacs_test_MSS</t>
  </si>
  <si>
    <t>382.328</t>
  </si>
  <si>
    <t>389.290</t>
  </si>
  <si>
    <t>307.526</t>
  </si>
  <si>
    <t>309.682</t>
  </si>
  <si>
    <t>gromacs_test_PEP</t>
  </si>
  <si>
    <t>1.240</t>
  </si>
  <si>
    <t>1.290</t>
  </si>
  <si>
    <t>1.073</t>
  </si>
  <si>
    <t>1.072</t>
  </si>
  <si>
    <t>gromacs_test_stmv</t>
  </si>
  <si>
    <t>9.032</t>
  </si>
  <si>
    <t>8.925</t>
  </si>
  <si>
    <t>8.584</t>
  </si>
  <si>
    <t>8.632</t>
  </si>
  <si>
    <t>gromacs_test_testv</t>
  </si>
  <si>
    <t>57.295</t>
  </si>
  <si>
    <t>56.710</t>
  </si>
  <si>
    <t>52.456</t>
  </si>
  <si>
    <t>52.086</t>
  </si>
  <si>
    <t>hpcg_2gpus</t>
  </si>
  <si>
    <t>GFLOPS</t>
  </si>
  <si>
    <t>540.900</t>
  </si>
  <si>
    <t>540.300</t>
  </si>
  <si>
    <t>hpcg_4gpus</t>
  </si>
  <si>
    <t>1064.600</t>
  </si>
  <si>
    <t>1062.500</t>
  </si>
  <si>
    <t>hpcg_8gpus</t>
  </si>
  <si>
    <t>1921.000</t>
  </si>
  <si>
    <t>1922.100</t>
  </si>
  <si>
    <t>hpcg_benchmark</t>
  </si>
  <si>
    <t>275.131</t>
  </si>
  <si>
    <t>275.090</t>
  </si>
  <si>
    <t>hpcg_benchmark_1x8</t>
  </si>
  <si>
    <t>240.000</t>
  </si>
  <si>
    <t>hpl_autotest_8X1</t>
  </si>
  <si>
    <t>139102.841</t>
  </si>
  <si>
    <t>132894.892</t>
  </si>
  <si>
    <t>hpl_autotest_perf_11.5T</t>
  </si>
  <si>
    <t>21994.668</t>
  </si>
  <si>
    <t>22122.518</t>
  </si>
  <si>
    <t>9.589</t>
  </si>
  <si>
    <t>22.476</t>
  </si>
  <si>
    <t>14.361</t>
  </si>
  <si>
    <t>22.301</t>
  </si>
  <si>
    <t>lammps_benchmark_4gpus</t>
  </si>
  <si>
    <t>1.024</t>
  </si>
  <si>
    <t>1.007</t>
  </si>
  <si>
    <t>lammps_run_benchmark</t>
  </si>
  <si>
    <t>17.495</t>
  </si>
  <si>
    <t>18.743</t>
  </si>
  <si>
    <t>接受性能回退，定位是corner case，MC3-6508已Won't Do/Won't Fix关闭</t>
  </si>
  <si>
    <t>maca_stable_22Jul2025</t>
  </si>
  <si>
    <t>14.238</t>
  </si>
  <si>
    <t>14.096</t>
  </si>
  <si>
    <t>lammps_run_benchmark_1400K</t>
  </si>
  <si>
    <t>0.414</t>
  </si>
  <si>
    <t>0.399</t>
  </si>
  <si>
    <t>0.137</t>
  </si>
  <si>
    <t>0.134</t>
  </si>
  <si>
    <t>lammps_run_benchmark_465K</t>
  </si>
  <si>
    <t>1.297</t>
  </si>
  <si>
    <t>1.234</t>
  </si>
  <si>
    <t>0.658</t>
  </si>
  <si>
    <t>0.666</t>
  </si>
  <si>
    <t>lammps_run_benchmark_61K</t>
  </si>
  <si>
    <t>9.069</t>
  </si>
  <si>
    <t>8.311</t>
  </si>
  <si>
    <t>6.554</t>
  </si>
  <si>
    <t>6.674</t>
  </si>
  <si>
    <t>lammps_run_eam_500K</t>
  </si>
  <si>
    <t>50.915</t>
  </si>
  <si>
    <t>51.513</t>
  </si>
  <si>
    <t>29.140</t>
  </si>
  <si>
    <t>30.396</t>
  </si>
  <si>
    <t>lammps_run_eam_62K</t>
  </si>
  <si>
    <t>329.763</t>
  </si>
  <si>
    <t>331.711</t>
  </si>
  <si>
    <t>311.689</t>
  </si>
  <si>
    <t>314.398</t>
  </si>
  <si>
    <t>lammps_run_OLCF_reaxff</t>
  </si>
  <si>
    <t>timesteps/s</t>
  </si>
  <si>
    <t>5.206</t>
  </si>
  <si>
    <t>5.205</t>
  </si>
  <si>
    <t>4.641</t>
  </si>
  <si>
    <t>4.596</t>
  </si>
  <si>
    <t>openlb_1.6r0_cavity3d_4gpus</t>
  </si>
  <si>
    <t>maca-1.6r0</t>
  </si>
  <si>
    <t>MLUPS</t>
  </si>
  <si>
    <t>3711.580</t>
  </si>
  <si>
    <t>3756.477</t>
  </si>
  <si>
    <t>openlb_1.7r0-cavity3dBenchmark</t>
  </si>
  <si>
    <t>maca-1.7r0</t>
  </si>
  <si>
    <t>1088.620</t>
  </si>
  <si>
    <t>1091.480</t>
  </si>
  <si>
    <t>openlb_1.7r0-cylinder3dbench-10</t>
  </si>
  <si>
    <t>145.753</t>
  </si>
  <si>
    <t>146.721</t>
  </si>
  <si>
    <t>openlb_1.7r0-cylinder3dbench-20</t>
  </si>
  <si>
    <t>330.559</t>
  </si>
  <si>
    <t>333.715</t>
  </si>
  <si>
    <t>openlb_b1.6r0-cavity3dBenchmark</t>
  </si>
  <si>
    <t>1422.420</t>
  </si>
  <si>
    <t>1429.900</t>
  </si>
  <si>
    <t>openlb_b1.6r0-cylinder3dbench-10</t>
  </si>
  <si>
    <t>470.050</t>
  </si>
  <si>
    <t>474.012</t>
  </si>
  <si>
    <t>openlb_b1.6r0-cylinder3dbench-20</t>
  </si>
  <si>
    <t>1197.844</t>
  </si>
  <si>
    <t>1189.129</t>
  </si>
  <si>
    <t>openmm_run_amber20_cellulose</t>
  </si>
  <si>
    <t>47.968</t>
  </si>
  <si>
    <t>47.015</t>
  </si>
  <si>
    <t>openmm_run_amber20_dhfr</t>
  </si>
  <si>
    <t>563.310</t>
  </si>
  <si>
    <t>560.845</t>
  </si>
  <si>
    <t>openmm_run_amber20_stmv</t>
  </si>
  <si>
    <t>17.271</t>
  </si>
  <si>
    <t>17.143</t>
  </si>
  <si>
    <t>openmm_run_apoa1pme</t>
  </si>
  <si>
    <t>180.440</t>
  </si>
  <si>
    <t>181.355</t>
  </si>
  <si>
    <t>pyfr_naca0021_p4_4c_gpu8</t>
  </si>
  <si>
    <t>maca-v2.1</t>
  </si>
  <si>
    <t>Gdofs</t>
  </si>
  <si>
    <t>7.312</t>
  </si>
  <si>
    <t>7.371</t>
  </si>
  <si>
    <t>pyfr_naca0021-tiny</t>
  </si>
  <si>
    <t>1.359</t>
  </si>
  <si>
    <t>pyfr_tgv</t>
  </si>
  <si>
    <t>2.854</t>
  </si>
  <si>
    <t>pyfr_tgv-o3-134M_gpu8</t>
  </si>
  <si>
    <t>16.378</t>
  </si>
  <si>
    <t>16.387</t>
  </si>
  <si>
    <t>quda_bicgstab_0_0_test</t>
  </si>
  <si>
    <t>1904.834</t>
  </si>
  <si>
    <t>1880.967</t>
  </si>
  <si>
    <t>quda_bicgstab_1_0_test</t>
  </si>
  <si>
    <t>1613.802</t>
  </si>
  <si>
    <t>1632.538</t>
  </si>
  <si>
    <t>quda_bicgstab_1_1_test</t>
  </si>
  <si>
    <t>2322.692</t>
  </si>
  <si>
    <t>2329.251</t>
  </si>
  <si>
    <t>vkfft_FFT-C2C-1D-FP32</t>
  </si>
  <si>
    <t>212046.000</t>
  </si>
  <si>
    <t>196355.333</t>
  </si>
  <si>
    <t>vkfft_FFT-C2C-1D-FP64</t>
  </si>
  <si>
    <t>108360.000</t>
  </si>
  <si>
    <t>97635.667</t>
  </si>
  <si>
    <t>autodock_1stp_verify_test</t>
  </si>
  <si>
    <t>autodock_3ce3_verify_test</t>
  </si>
  <si>
    <t>blastp_verify_test</t>
  </si>
  <si>
    <t>dealii_step-64_basic</t>
  </si>
  <si>
    <t>deepmd-kit_DeePMD-kit.unit_test</t>
  </si>
  <si>
    <t>ginkgo_unit_tests</t>
  </si>
  <si>
    <t>grid_gpt_gpt_test</t>
  </si>
  <si>
    <t>gromacs_run_make_test</t>
  </si>
  <si>
    <t>hypre_customer_test</t>
  </si>
  <si>
    <t>julia_hpcc_unittest_must_pass</t>
  </si>
  <si>
    <t>kokkos_unit_test</t>
  </si>
  <si>
    <t>lammps_run_make_test</t>
  </si>
  <si>
    <t>openlb_1.7r0-cylinder3d-10</t>
  </si>
  <si>
    <t>openlb_b1.6r0-cylinder3d-10</t>
  </si>
  <si>
    <t>openmm_run_make_test</t>
  </si>
  <si>
    <t>petsc_unit_test</t>
  </si>
  <si>
    <t>petsc_unit_test_cuda</t>
  </si>
  <si>
    <t>pyfr_couette_flow_2d</t>
  </si>
  <si>
    <t>pyfr_euler_vortex_2d</t>
  </si>
  <si>
    <t>pyfr_inc_cylinder_2d</t>
  </si>
  <si>
    <t>raja_unit_test</t>
  </si>
  <si>
    <t>rajaperf_perf_test</t>
  </si>
  <si>
    <t>rajaperf_unit_test</t>
  </si>
  <si>
    <t>shoc_performance_test</t>
  </si>
  <si>
    <t>stir_make_test</t>
  </si>
  <si>
    <t>stir_parallelproj_make_test</t>
  </si>
  <si>
    <t>NF5698-M7-A0-R0-00</t>
  </si>
  <si>
    <t>10.2.185.150+22</t>
  </si>
  <si>
    <t>ubuntu20.04</t>
  </si>
  <si>
    <t>5.15.0-58-generic</t>
  </si>
  <si>
    <t>Intel(R) Xeon(R) Platinum 8480+</t>
  </si>
  <si>
    <t>224 core max 3800 MHz</t>
  </si>
  <si>
    <t>X203</t>
  </si>
  <si>
    <t>Host Driver Version</t>
  </si>
  <si>
    <t>OAMC C550 3.7.0.x</t>
  </si>
  <si>
    <t>OAMC C550 3.5.3.x</t>
  </si>
  <si>
    <t>OAMC C550 3.7.0.x/OAMC C550 3.5.3.x（波动范围在95~105%以内可接受，否则备注原因）</t>
  </si>
  <si>
    <t>OAMC C550 3.7.0.x/OAMC C500 3.7.0.x（波动范围在90~108%以内可接受，否则备注原因）</t>
  </si>
  <si>
    <t>34.797</t>
  </si>
  <si>
    <t>35.463</t>
  </si>
  <si>
    <t>105.180</t>
  </si>
  <si>
    <t>104.923</t>
  </si>
  <si>
    <t>在波动范围内(此cpu占比较高，C550测试机器cpu频率更高)</t>
  </si>
  <si>
    <t>151.898</t>
  </si>
  <si>
    <t>152.130</t>
  </si>
  <si>
    <t>127.638</t>
  </si>
  <si>
    <t>127.553</t>
  </si>
  <si>
    <t>616.599</t>
  </si>
  <si>
    <t>615.543</t>
  </si>
  <si>
    <t>527.540</t>
  </si>
  <si>
    <t>528.094</t>
  </si>
  <si>
    <t>1237.030</t>
  </si>
  <si>
    <t>1235.060</t>
  </si>
  <si>
    <t>49.847</t>
  </si>
  <si>
    <t>50.002</t>
  </si>
  <si>
    <t>370.238</t>
  </si>
  <si>
    <t>370.418</t>
  </si>
  <si>
    <t>500.364</t>
  </si>
  <si>
    <t>500.604</t>
  </si>
  <si>
    <t>22.701</t>
  </si>
  <si>
    <t>23.181</t>
  </si>
  <si>
    <t>9009.570</t>
  </si>
  <si>
    <t>8960.140</t>
  </si>
  <si>
    <t>C550和C500性能相差过大，详见问题单MC3-7220</t>
  </si>
  <si>
    <t>10429.600</t>
  </si>
  <si>
    <t>10315.200</t>
  </si>
  <si>
    <t>23.796</t>
  </si>
  <si>
    <t>23.907</t>
  </si>
  <si>
    <t>在波动范围内(20%以内正常)</t>
  </si>
  <si>
    <t>0.041</t>
  </si>
  <si>
    <t>0.129</t>
  </si>
  <si>
    <t>0.126</t>
  </si>
  <si>
    <t>0.432</t>
  </si>
  <si>
    <t>0.427</t>
  </si>
  <si>
    <t>1.183</t>
  </si>
  <si>
    <t>1.179</t>
  </si>
  <si>
    <t>331.151</t>
  </si>
  <si>
    <t>328.217</t>
  </si>
  <si>
    <t>208.546</t>
  </si>
  <si>
    <t>208.043</t>
  </si>
  <si>
    <t>125.062</t>
  </si>
  <si>
    <t>129.840</t>
  </si>
  <si>
    <t>107.378</t>
  </si>
  <si>
    <t>104.328</t>
  </si>
  <si>
    <t>195.485</t>
  </si>
  <si>
    <t>175.259</t>
  </si>
  <si>
    <t>481.479</t>
  </si>
  <si>
    <t>447.088</t>
  </si>
  <si>
    <t>458.906</t>
  </si>
  <si>
    <t>448.520</t>
  </si>
  <si>
    <t>392.360</t>
  </si>
  <si>
    <t>382.577</t>
  </si>
  <si>
    <t>423.997</t>
  </si>
  <si>
    <t>413.584</t>
  </si>
  <si>
    <t>471.314</t>
  </si>
  <si>
    <t>473.820</t>
  </si>
  <si>
    <t>362.911</t>
  </si>
  <si>
    <t>349.157</t>
  </si>
  <si>
    <t>250.372</t>
  </si>
  <si>
    <t>246.755</t>
  </si>
  <si>
    <t>160.432</t>
  </si>
  <si>
    <t>165.022</t>
  </si>
  <si>
    <t>14.877</t>
  </si>
  <si>
    <t>11.706</t>
  </si>
  <si>
    <t>156.244</t>
  </si>
  <si>
    <t>149.243</t>
  </si>
  <si>
    <t>540.565</t>
  </si>
  <si>
    <t>494.858</t>
  </si>
  <si>
    <t>238.917</t>
  </si>
  <si>
    <t>236.651</t>
  </si>
  <si>
    <t>337.675</t>
  </si>
  <si>
    <t>289.399</t>
  </si>
  <si>
    <t>OAMC C550 3.7.0.x/OAMC C500 3.7.0.x（波动范围在90~110%以内可接受，否则备注原因）</t>
  </si>
  <si>
    <t>3.053</t>
  </si>
  <si>
    <t>3.083</t>
  </si>
  <si>
    <t>在波动范围内（C550比C500性能好20%左右是正常值）</t>
  </si>
  <si>
    <t>169.196</t>
  </si>
  <si>
    <t>139.381</t>
  </si>
  <si>
    <t>265.310</t>
  </si>
  <si>
    <t>224.917</t>
  </si>
  <si>
    <t>24.753</t>
  </si>
  <si>
    <t>25.418</t>
  </si>
  <si>
    <t>121.628</t>
  </si>
  <si>
    <t>122.168</t>
  </si>
  <si>
    <t>404.817</t>
  </si>
  <si>
    <t>411.651</t>
  </si>
  <si>
    <t>317.791</t>
  </si>
  <si>
    <t>319.848</t>
  </si>
  <si>
    <t>1.455</t>
  </si>
  <si>
    <t>1.462</t>
  </si>
  <si>
    <t>1.253</t>
  </si>
  <si>
    <t>1.252</t>
  </si>
  <si>
    <t>10.395</t>
  </si>
  <si>
    <t>10.292</t>
  </si>
  <si>
    <t>9.697</t>
  </si>
  <si>
    <t>9.850</t>
  </si>
  <si>
    <t>65.866</t>
  </si>
  <si>
    <t>65.382</t>
  </si>
  <si>
    <t>59.639</t>
  </si>
  <si>
    <t>59.504</t>
  </si>
  <si>
    <t>548.500</t>
  </si>
  <si>
    <t>548.800</t>
  </si>
  <si>
    <t>1077.000</t>
  </si>
  <si>
    <t>1079.200</t>
  </si>
  <si>
    <t>1949.700</t>
  </si>
  <si>
    <t>1948.200</t>
  </si>
  <si>
    <t>279.193</t>
  </si>
  <si>
    <t>279.020</t>
  </si>
  <si>
    <t>243.000</t>
  </si>
  <si>
    <t>244.000</t>
  </si>
  <si>
    <t>153617.058</t>
  </si>
  <si>
    <t>150171.955</t>
  </si>
  <si>
    <t>在波动范围内（C550比C500性能好15%左右是正常值）</t>
  </si>
  <si>
    <t>23421.562</t>
  </si>
  <si>
    <t>23198.792</t>
  </si>
  <si>
    <t>0.967</t>
  </si>
  <si>
    <t>1.040</t>
  </si>
  <si>
    <t>18.990</t>
  </si>
  <si>
    <t>19.490</t>
  </si>
  <si>
    <t>15.858</t>
  </si>
  <si>
    <t>15.141</t>
  </si>
  <si>
    <t>0.458</t>
  </si>
  <si>
    <t>0.462</t>
  </si>
  <si>
    <t>0.139</t>
  </si>
  <si>
    <t>1.495</t>
  </si>
  <si>
    <t>0.654</t>
  </si>
  <si>
    <t>0.661</t>
  </si>
  <si>
    <t>9.923</t>
  </si>
  <si>
    <t>9.970</t>
  </si>
  <si>
    <t>7.071</t>
  </si>
  <si>
    <t>7.100</t>
  </si>
  <si>
    <t>54.475</t>
  </si>
  <si>
    <t>55.339</t>
  </si>
  <si>
    <t>30.332</t>
  </si>
  <si>
    <t>33.819</t>
  </si>
  <si>
    <t>335.637</t>
  </si>
  <si>
    <t>336.542</t>
  </si>
  <si>
    <t>306.241</t>
  </si>
  <si>
    <t>311.209</t>
  </si>
  <si>
    <t>5.593</t>
  </si>
  <si>
    <t>5.617</t>
  </si>
  <si>
    <t>4.839</t>
  </si>
  <si>
    <t>4.818</t>
  </si>
  <si>
    <t>3934.660</t>
  </si>
  <si>
    <t>3955.420</t>
  </si>
  <si>
    <t>1095.500</t>
  </si>
  <si>
    <t>1096.150</t>
  </si>
  <si>
    <t>140.425</t>
  </si>
  <si>
    <t>143.047</t>
  </si>
  <si>
    <t>335.288</t>
  </si>
  <si>
    <t>335.837</t>
  </si>
  <si>
    <t>1534.240</t>
  </si>
  <si>
    <t>1541.870</t>
  </si>
  <si>
    <t>503.115</t>
  </si>
  <si>
    <t>494.470</t>
  </si>
  <si>
    <t>1306.400</t>
  </si>
  <si>
    <t>1311.371</t>
  </si>
  <si>
    <t>56.082</t>
  </si>
  <si>
    <t>54.892</t>
  </si>
  <si>
    <t>670.862</t>
  </si>
  <si>
    <t>665.582</t>
  </si>
  <si>
    <t>19.702</t>
  </si>
  <si>
    <t>19.765</t>
  </si>
  <si>
    <t>213.559</t>
  </si>
  <si>
    <t>214.626</t>
  </si>
  <si>
    <t>7.850</t>
  </si>
  <si>
    <t>2.874</t>
  </si>
  <si>
    <t>16.898</t>
  </si>
  <si>
    <t>2000.533</t>
  </si>
  <si>
    <t>1977.445</t>
  </si>
  <si>
    <t>1678.120</t>
  </si>
  <si>
    <t>1673.852</t>
  </si>
  <si>
    <t>2479.013</t>
  </si>
  <si>
    <t>2502.565</t>
  </si>
  <si>
    <t>NF5868-M8-A0-F0-00</t>
  </si>
  <si>
    <t>10.2.185.88</t>
  </si>
  <si>
    <t>Ubuntu 20.04.6</t>
  </si>
  <si>
    <t>Intel(R) Xeon(R) 6767P</t>
  </si>
  <si>
    <t>256 core /2 Thread(s) per core/max 3900 MHz</t>
  </si>
  <si>
    <t>N300</t>
  </si>
  <si>
    <t>2.1.5.0</t>
  </si>
  <si>
    <t>3.7.0.x</t>
  </si>
  <si>
    <t>3.6.0.x</t>
  </si>
  <si>
    <t>3.7.0.x/3.6.0.x（波动范围在95~105%以内可接受，否则备注原因）</t>
  </si>
  <si>
    <t>299.520</t>
  </si>
  <si>
    <t>277.580</t>
  </si>
  <si>
    <t>168.007</t>
  </si>
  <si>
    <t>158.878</t>
  </si>
  <si>
    <t>242.327</t>
  </si>
  <si>
    <t>226.889</t>
  </si>
  <si>
    <t>241.703</t>
  </si>
  <si>
    <t>224.875</t>
  </si>
  <si>
    <t>3.244</t>
  </si>
  <si>
    <t>3.220</t>
  </si>
  <si>
    <t>181.836</t>
  </si>
  <si>
    <t>184.348</t>
  </si>
  <si>
    <t>62.557</t>
  </si>
  <si>
    <t>61.229</t>
  </si>
  <si>
    <t>110.596</t>
  </si>
  <si>
    <t>111.331</t>
  </si>
  <si>
    <t>2224.205</t>
  </si>
  <si>
    <t>2221.177</t>
  </si>
  <si>
    <t>2719.693</t>
  </si>
  <si>
    <t>2696.515</t>
  </si>
  <si>
    <t>2788.025</t>
  </si>
  <si>
    <t>941.602</t>
  </si>
  <si>
    <t>1570.162</t>
  </si>
  <si>
    <t>13505.730</t>
  </si>
  <si>
    <t>13741.690</t>
  </si>
  <si>
    <t>X301</t>
  </si>
  <si>
    <t>3.390</t>
  </si>
  <si>
    <t>3.360</t>
  </si>
  <si>
    <t>559.000</t>
  </si>
  <si>
    <t>949.352</t>
  </si>
  <si>
    <t>1584.447</t>
  </si>
  <si>
    <t>72.217</t>
  </si>
  <si>
    <t>111.966</t>
  </si>
  <si>
    <t>176.659</t>
  </si>
  <si>
    <t>0.416</t>
  </si>
  <si>
    <t>3.969</t>
  </si>
  <si>
    <t>22.447</t>
  </si>
  <si>
    <t>131.954</t>
  </si>
  <si>
    <t>130.162</t>
  </si>
  <si>
    <t>5747.507</t>
  </si>
  <si>
    <t>5697.704</t>
  </si>
  <si>
    <t>14.065</t>
  </si>
  <si>
    <t>0.321</t>
  </si>
  <si>
    <t>0.315</t>
  </si>
  <si>
    <t>0.891</t>
  </si>
  <si>
    <t>0.851</t>
  </si>
  <si>
    <t>5.184</t>
  </si>
  <si>
    <t>4.686</t>
  </si>
  <si>
    <t>41.609</t>
  </si>
  <si>
    <t>39.860</t>
  </si>
  <si>
    <t>260.717</t>
  </si>
  <si>
    <t>253.930</t>
  </si>
  <si>
    <t>4.030</t>
  </si>
  <si>
    <t>3.918</t>
  </si>
  <si>
    <t>1660.410</t>
  </si>
  <si>
    <t>552.254</t>
  </si>
  <si>
    <t>13477.840</t>
  </si>
  <si>
    <t>0.630</t>
  </si>
  <si>
    <t>1.816</t>
  </si>
  <si>
    <t>976.649</t>
  </si>
  <si>
    <t>969.424</t>
  </si>
  <si>
    <t>989.373</t>
  </si>
  <si>
    <t>963.150</t>
  </si>
  <si>
    <t>1124.521</t>
  </si>
  <si>
    <t>1108.242</t>
  </si>
  <si>
    <t>80.366</t>
  </si>
  <si>
    <t>182.526</t>
  </si>
  <si>
    <t>5718.370</t>
  </si>
  <si>
    <t>290.341</t>
  </si>
  <si>
    <t>163.037</t>
  </si>
  <si>
    <t>233.201</t>
  </si>
  <si>
    <t>234.266</t>
  </si>
  <si>
    <t>174.279</t>
  </si>
  <si>
    <t>3.437</t>
  </si>
  <si>
    <t>3.153</t>
  </si>
  <si>
    <t>180.714</t>
  </si>
  <si>
    <t>61.937</t>
  </si>
  <si>
    <t>109.543</t>
  </si>
  <si>
    <t>2204.434</t>
  </si>
  <si>
    <t>21.980</t>
  </si>
  <si>
    <t>2697.786</t>
  </si>
  <si>
    <t>2673.086</t>
  </si>
  <si>
    <t>2764.454</t>
  </si>
  <si>
    <t>15.694</t>
  </si>
  <si>
    <t>37.386</t>
  </si>
  <si>
    <t>4881.000</t>
  </si>
  <si>
    <t>199.109</t>
  </si>
  <si>
    <t>0.092</t>
  </si>
  <si>
    <t>0.294</t>
  </si>
  <si>
    <t>0.978</t>
  </si>
  <si>
    <t>316726.162</t>
  </si>
  <si>
    <t>55427.700</t>
  </si>
  <si>
    <t>17674.500</t>
  </si>
  <si>
    <t>501912.000</t>
  </si>
  <si>
    <t>206746.000</t>
  </si>
  <si>
    <t>223725.029</t>
  </si>
  <si>
    <t>92752.723</t>
  </si>
  <si>
    <t>72717.621</t>
  </si>
  <si>
    <t>6.913</t>
  </si>
  <si>
    <t>132.336</t>
  </si>
  <si>
    <t>3.407</t>
  </si>
  <si>
    <t>29.191</t>
  </si>
  <si>
    <t>36.657</t>
  </si>
  <si>
    <t>6.485</t>
  </si>
  <si>
    <t>3.077</t>
  </si>
  <si>
    <t>56.758</t>
  </si>
  <si>
    <t>3.466</t>
  </si>
  <si>
    <t>波动范围内，仅为热点函数耗时参考，10%以正常</t>
  </si>
  <si>
    <t>26.914</t>
  </si>
  <si>
    <t>34.571</t>
  </si>
  <si>
    <t>5.478</t>
  </si>
  <si>
    <t>1226.000</t>
  </si>
  <si>
    <t>性能回退，新增MC3-9216跟踪</t>
  </si>
  <si>
    <t>792.000</t>
  </si>
  <si>
    <t>3532.000</t>
  </si>
  <si>
    <t>177.582</t>
  </si>
  <si>
    <t>51.023</t>
  </si>
  <si>
    <t>216.157</t>
  </si>
  <si>
    <t>788.477</t>
  </si>
  <si>
    <t>回退接受，详见MC3-9492</t>
  </si>
  <si>
    <t>842.983</t>
  </si>
  <si>
    <t>625.976</t>
  </si>
  <si>
    <t>evo-2_evo2_7b_test</t>
  </si>
  <si>
    <t>CS5998H3</t>
  </si>
  <si>
    <t>10.2.185.106</t>
    <phoneticPr fontId="1" type="noConversion"/>
  </si>
  <si>
    <t>22.04ubuntu</t>
  </si>
  <si>
    <t xml:space="preserve"> Hygon C86-4G (OPN:7490)</t>
  </si>
  <si>
    <t>255 core max 0 MHz</t>
  </si>
  <si>
    <t>C600</t>
    <phoneticPr fontId="1" type="noConversion"/>
  </si>
  <si>
    <t>min</t>
    <phoneticPr fontId="1" type="noConversion"/>
  </si>
  <si>
    <t>340.621</t>
  </si>
  <si>
    <t>225.524</t>
  </si>
  <si>
    <t>284.445</t>
  </si>
  <si>
    <t>287.128</t>
  </si>
  <si>
    <t>2.949</t>
  </si>
  <si>
    <t>171.136</t>
  </si>
  <si>
    <t>57.780</t>
  </si>
  <si>
    <t>104.855</t>
  </si>
  <si>
    <t>2101.756</t>
  </si>
  <si>
    <t>2627.868</t>
  </si>
  <si>
    <t>2605.492</t>
  </si>
  <si>
    <t>2682.220</t>
  </si>
  <si>
    <t>1041.504</t>
  </si>
  <si>
    <t>1862.049</t>
  </si>
  <si>
    <t>/</t>
    <phoneticPr fontId="1" type="noConversion"/>
  </si>
  <si>
    <t>概率失败，详情见MC3-5770</t>
    <phoneticPr fontId="8" type="noConversion"/>
  </si>
  <si>
    <t>15605.180</t>
  </si>
  <si>
    <t>CS5898H3</t>
  </si>
  <si>
    <t>10.2.185.77</t>
    <phoneticPr fontId="1" type="noConversion"/>
  </si>
  <si>
    <t>255 core max 2700 MHz</t>
  </si>
  <si>
    <t>X302</t>
    <phoneticPr fontId="1" type="noConversion"/>
  </si>
  <si>
    <t>70.472</t>
  </si>
  <si>
    <t>160.169</t>
  </si>
  <si>
    <t>6611.447</t>
  </si>
  <si>
    <t>341.509</t>
  </si>
  <si>
    <t>223.428</t>
  </si>
  <si>
    <t>290.760</t>
  </si>
  <si>
    <t>287.679</t>
  </si>
  <si>
    <t>217.440</t>
  </si>
  <si>
    <t>4.952</t>
  </si>
  <si>
    <t>2.948</t>
  </si>
  <si>
    <t>171.153</t>
  </si>
  <si>
    <t>57.632</t>
  </si>
  <si>
    <t>103.844</t>
  </si>
  <si>
    <t>2092.661</t>
  </si>
  <si>
    <t>39.818</t>
  </si>
  <si>
    <t>2585.509</t>
  </si>
  <si>
    <t>2586.466</t>
  </si>
  <si>
    <t>2675.260</t>
  </si>
  <si>
    <t>14.218</t>
  </si>
  <si>
    <t>41.174</t>
  </si>
  <si>
    <t>4734.667</t>
  </si>
  <si>
    <t>209.259</t>
  </si>
  <si>
    <t>0.087</t>
  </si>
  <si>
    <t>0.285</t>
  </si>
  <si>
    <t>0.965</t>
  </si>
  <si>
    <t>7.053</t>
  </si>
  <si>
    <t>120.140</t>
  </si>
  <si>
    <t>26.816</t>
  </si>
  <si>
    <t>39.073</t>
  </si>
  <si>
    <t>6.268</t>
  </si>
  <si>
    <t>3.145</t>
  </si>
  <si>
    <t>51.013</t>
  </si>
  <si>
    <t>3.471</t>
  </si>
  <si>
    <t>22.990</t>
  </si>
  <si>
    <t>36.260</t>
  </si>
  <si>
    <t>5.776</t>
  </si>
  <si>
    <t>1341.667</t>
  </si>
  <si>
    <t>927.000</t>
  </si>
  <si>
    <t>3227.333</t>
  </si>
  <si>
    <t>76.951</t>
  </si>
  <si>
    <t>54.402</t>
  </si>
  <si>
    <t>207.529</t>
  </si>
  <si>
    <t>875.354</t>
  </si>
  <si>
    <t>885.458</t>
  </si>
  <si>
    <t>646.366</t>
  </si>
  <si>
    <t>max</t>
    <phoneticPr fontId="1" type="noConversion"/>
  </si>
  <si>
    <t>3.720</t>
  </si>
  <si>
    <t>626.000</t>
  </si>
  <si>
    <t>1012.530</t>
  </si>
  <si>
    <t>1840.569</t>
  </si>
  <si>
    <t>69.868</t>
  </si>
  <si>
    <t>121.874</t>
  </si>
  <si>
    <t>182.767</t>
  </si>
  <si>
    <t>0.469</t>
  </si>
  <si>
    <t>4.476</t>
  </si>
  <si>
    <t>25.251</t>
  </si>
  <si>
    <t>140.463</t>
  </si>
  <si>
    <t>9808.244</t>
  </si>
  <si>
    <t>13.266</t>
  </si>
  <si>
    <t>0.344</t>
  </si>
  <si>
    <t>0.947</t>
  </si>
  <si>
    <t>7.034</t>
  </si>
  <si>
    <t>44.896</t>
  </si>
  <si>
    <t>263.490</t>
  </si>
  <si>
    <t>4.468</t>
  </si>
  <si>
    <t>6072.000</t>
  </si>
  <si>
    <t>316269.411</t>
  </si>
  <si>
    <t>50037.200</t>
  </si>
  <si>
    <t>18252.500</t>
  </si>
  <si>
    <t>450142.000</t>
  </si>
  <si>
    <t>204410.000</t>
  </si>
  <si>
    <t>219141.184</t>
  </si>
  <si>
    <t>92504.388</t>
  </si>
  <si>
    <t>73273.001</t>
  </si>
  <si>
    <t>1761.960</t>
  </si>
  <si>
    <t>186.884</t>
  </si>
  <si>
    <t>520.739</t>
  </si>
  <si>
    <t>15379.770</t>
  </si>
  <si>
    <t>0.717</t>
  </si>
  <si>
    <t>1.830</t>
  </si>
  <si>
    <t>985.087</t>
  </si>
  <si>
    <t>974.116</t>
  </si>
  <si>
    <t>1194.245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</si>
</sst>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u/>
      <sz val="11"/>
      <color theme="10"/>
      <name val="等线"/>
      <charset val="134"/>
    </font>
    <font>
      <b/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rgb="FFC6D9F0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2" borderId="1" xfId="0" applyFont="1" applyFill="1" applyBorder="1" applyAlignment="1" applyProtection="1">
      <alignment horizontal="left" vertical="center" wrapText="1"/>
    </xf>
    <xf numFmtId="10" fontId="3" fillId="3" borderId="1" xfId="0" applyNumberFormat="1" applyFont="1" applyFill="1" applyBorder="1" applyAlignment="1" applyProtection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/>
    </xf>
    <xf numFmtId="10" fontId="3" fillId="0" borderId="1" xfId="0" applyNumberFormat="1" applyFont="1" applyBorder="1" applyAlignment="1" applyProtection="1">
      <alignment horizontal="left" vertical="center" wrapText="1"/>
    </xf>
    <xf numFmtId="10" fontId="3" fillId="3" borderId="1" xfId="0" applyNumberFormat="1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0" fontId="3" fillId="4" borderId="1" xfId="0" applyNumberFormat="1" applyFont="1" applyFill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/>
    </xf>
    <xf numFmtId="0" fontId="3" fillId="0" borderId="1" xfId="0" applyFont="1" applyBorder="1" applyAlignment="1" applyProtection="1">
      <alignment horizontal="left" vertical="center"/>
    </xf>
    <xf numFmtId="0" fontId="3" fillId="0" borderId="0" xfId="0" applyFont="1" applyAlignment="1"/>
    <xf numFmtId="0" fontId="3" fillId="0" borderId="1" xfId="0" applyFont="1" applyBorder="1" applyAlignment="1" applyProtection="1"/>
    <xf numFmtId="0" fontId="3" fillId="0" borderId="0" xfId="0" applyFont="1">
      <alignment vertical="center"/>
    </xf>
    <xf numFmtId="0" fontId="3" fillId="4" borderId="1" xfId="0" applyFont="1" applyFill="1" applyBorder="1" applyAlignment="1" applyProtection="1">
      <alignment horizontal="left" vertical="center"/>
    </xf>
    <xf numFmtId="10" fontId="3" fillId="0" borderId="1" xfId="0" applyNumberFormat="1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0" fontId="3" fillId="0" borderId="1" xfId="0" quotePrefix="1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/>
    </xf>
    <xf numFmtId="0" fontId="3" fillId="0" borderId="1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 applyProtection="1"/>
    <xf numFmtId="0" fontId="3" fillId="0" borderId="0" xfId="0" applyFont="1" applyAlignment="1">
      <alignment horizontal="left" vertical="center"/>
    </xf>
    <xf numFmtId="10" fontId="3" fillId="0" borderId="1" xfId="0" applyNumberFormat="1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10" fontId="2" fillId="2" borderId="1" xfId="0" applyNumberFormat="1" applyFont="1" applyFill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49" fontId="4" fillId="0" borderId="1" xfId="0" applyNumberFormat="1" applyFont="1" applyBorder="1" applyAlignment="1" applyProtection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>
      <alignment vertical="center"/>
    </xf>
    <xf numFmtId="0" fontId="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2" borderId="4" xfId="0" applyFont="1" applyFill="1" applyBorder="1" applyAlignment="1">
      <alignment horizontal="left" vertical="center"/>
    </xf>
    <xf numFmtId="0" fontId="6" fillId="0" borderId="4" xfId="0" applyFont="1" applyBorder="1">
      <alignment vertical="center"/>
    </xf>
    <xf numFmtId="0" fontId="5" fillId="2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arwin_Darwin-7b-1.0@infer-hf@matbench_expt_g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A610-F029-4741-A7CA-B4E058F64DB4}">
  <sheetPr>
    <outlinePr summaryBelow="0" summaryRight="0"/>
  </sheetPr>
  <dimension ref="A1:AN176"/>
  <sheetViews>
    <sheetView workbookViewId="0"/>
  </sheetViews>
  <sheetFormatPr defaultColWidth="8.84375" defaultRowHeight="14" customHeight="1" x14ac:dyDescent="0.35"/>
  <cols>
    <col min="1" max="1" width="35.69140625" style="30" customWidth="1"/>
    <col min="2" max="2" width="26.4609375" style="30" customWidth="1"/>
    <col min="3" max="3" width="15.3046875" style="30" customWidth="1"/>
    <col min="4" max="4" width="8.69140625" style="30" customWidth="1"/>
    <col min="5" max="5" width="16.3046875" style="30" customWidth="1"/>
    <col min="6" max="6" width="14" style="30" customWidth="1"/>
    <col min="7" max="7" width="26.69140625" style="30" customWidth="1"/>
    <col min="8" max="8" width="52" style="30" customWidth="1"/>
    <col min="9" max="13" width="8.69140625" style="30" customWidth="1"/>
    <col min="14" max="40" width="8.69140625" style="30"/>
  </cols>
  <sheetData>
    <row r="1" spans="1:2" s="15" customFormat="1" ht="14" customHeight="1" x14ac:dyDescent="0.3">
      <c r="A1" s="36" t="s">
        <v>0</v>
      </c>
      <c r="B1" s="16"/>
    </row>
    <row r="2" spans="1:2" s="15" customFormat="1" ht="14" customHeight="1" x14ac:dyDescent="0.3">
      <c r="A2" s="23" t="s">
        <v>1</v>
      </c>
      <c r="B2" s="24" t="s">
        <v>2</v>
      </c>
    </row>
    <row r="3" spans="1:2" s="15" customFormat="1" ht="14" customHeight="1" x14ac:dyDescent="0.3">
      <c r="A3" s="23" t="s">
        <v>3</v>
      </c>
      <c r="B3" s="24" t="s">
        <v>4</v>
      </c>
    </row>
    <row r="4" spans="1:2" s="15" customFormat="1" ht="14" customHeight="1" x14ac:dyDescent="0.3">
      <c r="A4" s="23" t="s">
        <v>5</v>
      </c>
      <c r="B4" s="24" t="s">
        <v>6</v>
      </c>
    </row>
    <row r="5" spans="1:2" s="15" customFormat="1" ht="14" customHeight="1" x14ac:dyDescent="0.3">
      <c r="A5" s="23" t="s">
        <v>7</v>
      </c>
      <c r="B5" s="24" t="s">
        <v>8</v>
      </c>
    </row>
    <row r="6" spans="1:2" s="15" customFormat="1" ht="14" customHeight="1" x14ac:dyDescent="0.3">
      <c r="A6" s="23" t="s">
        <v>9</v>
      </c>
      <c r="B6" s="24" t="s">
        <v>10</v>
      </c>
    </row>
    <row r="7" spans="1:2" s="15" customFormat="1" ht="14" customHeight="1" x14ac:dyDescent="0.3">
      <c r="A7" s="23" t="s">
        <v>11</v>
      </c>
      <c r="B7" s="24" t="s">
        <v>12</v>
      </c>
    </row>
    <row r="8" spans="1:2" s="15" customFormat="1" ht="14" customHeight="1" x14ac:dyDescent="0.3">
      <c r="A8" s="25" t="s">
        <v>13</v>
      </c>
      <c r="B8" s="29" t="s">
        <v>14</v>
      </c>
    </row>
    <row r="9" spans="1:2" s="15" customFormat="1" ht="14.25" customHeight="1" x14ac:dyDescent="0.3">
      <c r="A9" s="23" t="s">
        <v>15</v>
      </c>
      <c r="B9" s="24" t="s">
        <v>16</v>
      </c>
    </row>
    <row r="10" spans="1:2" s="15" customFormat="1" ht="14.25" customHeight="1" x14ac:dyDescent="0.3">
      <c r="A10" s="23" t="s">
        <v>17</v>
      </c>
      <c r="B10" s="24" t="s">
        <v>18</v>
      </c>
    </row>
    <row r="11" spans="1:2" s="15" customFormat="1" ht="14.25" customHeight="1" x14ac:dyDescent="0.3">
      <c r="A11" s="23" t="s">
        <v>19</v>
      </c>
      <c r="B11" s="24" t="s">
        <v>20</v>
      </c>
    </row>
    <row r="12" spans="1:2" s="15" customFormat="1" ht="14.25" customHeight="1" x14ac:dyDescent="0.3">
      <c r="A12" s="23" t="s">
        <v>21</v>
      </c>
      <c r="B12" s="24" t="s">
        <v>22</v>
      </c>
    </row>
    <row r="13" spans="1:2" s="15" customFormat="1" ht="14" customHeight="1" x14ac:dyDescent="0.3"/>
    <row r="14" spans="1:2" s="15" customFormat="1" ht="14" customHeight="1" x14ac:dyDescent="0.3"/>
    <row r="15" spans="1:2" s="15" customFormat="1" ht="14" customHeight="1" x14ac:dyDescent="0.3"/>
    <row r="16" spans="1:2" s="15" customFormat="1" ht="14" customHeight="1" x14ac:dyDescent="0.3"/>
    <row r="17" spans="1:8" s="15" customFormat="1" ht="14" customHeight="1" x14ac:dyDescent="0.3"/>
    <row r="18" spans="1:8" s="15" customFormat="1" ht="14" customHeight="1" x14ac:dyDescent="0.3"/>
    <row r="19" spans="1:8" ht="14" customHeight="1" x14ac:dyDescent="0.35">
      <c r="A19" s="36" t="s">
        <v>23</v>
      </c>
      <c r="B19" s="20"/>
      <c r="C19" s="20"/>
      <c r="D19" s="20"/>
      <c r="E19" s="20"/>
      <c r="F19" s="20"/>
      <c r="G19" s="20"/>
      <c r="H19" s="20"/>
    </row>
    <row r="20" spans="1:8" ht="14" customHeight="1" x14ac:dyDescent="0.35">
      <c r="A20" s="36" t="s">
        <v>24</v>
      </c>
      <c r="B20" s="36" t="s">
        <v>25</v>
      </c>
      <c r="C20" s="36" t="s">
        <v>26</v>
      </c>
      <c r="D20" s="36" t="s">
        <v>27</v>
      </c>
      <c r="E20" s="36" t="s">
        <v>28</v>
      </c>
      <c r="F20" s="36" t="s">
        <v>29</v>
      </c>
      <c r="G20" s="36" t="s">
        <v>30</v>
      </c>
      <c r="H20" s="36" t="s">
        <v>31</v>
      </c>
    </row>
    <row r="21" spans="1:8" ht="14" customHeight="1" x14ac:dyDescent="0.35">
      <c r="A21" s="20" t="s">
        <v>32</v>
      </c>
      <c r="B21" s="20" t="s">
        <v>33</v>
      </c>
      <c r="C21" s="20" t="s">
        <v>23</v>
      </c>
      <c r="D21" s="20" t="s">
        <v>34</v>
      </c>
      <c r="E21" s="20" t="s">
        <v>35</v>
      </c>
      <c r="F21" s="14" t="s">
        <v>36</v>
      </c>
      <c r="G21" s="19">
        <f t="shared" ref="G21:G48" si="0">E21/F21</f>
        <v>1.0189829327760362</v>
      </c>
      <c r="H21" s="20"/>
    </row>
    <row r="22" spans="1:8" ht="14" customHeight="1" x14ac:dyDescent="0.35">
      <c r="A22" s="20" t="s">
        <v>37</v>
      </c>
      <c r="B22" s="20" t="s">
        <v>33</v>
      </c>
      <c r="C22" s="20" t="s">
        <v>23</v>
      </c>
      <c r="D22" s="20" t="s">
        <v>34</v>
      </c>
      <c r="E22" s="20" t="s">
        <v>38</v>
      </c>
      <c r="F22" s="14" t="s">
        <v>39</v>
      </c>
      <c r="G22" s="2">
        <f t="shared" si="0"/>
        <v>0.94733194733194726</v>
      </c>
      <c r="H22" s="20" t="s">
        <v>40</v>
      </c>
    </row>
    <row r="23" spans="1:8" ht="14" customHeight="1" x14ac:dyDescent="0.35">
      <c r="A23" s="20" t="s">
        <v>41</v>
      </c>
      <c r="B23" s="20" t="s">
        <v>33</v>
      </c>
      <c r="C23" s="20" t="s">
        <v>23</v>
      </c>
      <c r="D23" s="20" t="s">
        <v>34</v>
      </c>
      <c r="E23" s="20" t="s">
        <v>42</v>
      </c>
      <c r="F23" s="14" t="s">
        <v>43</v>
      </c>
      <c r="G23" s="2">
        <f t="shared" si="0"/>
        <v>0.9468950008649023</v>
      </c>
      <c r="H23" s="20" t="s">
        <v>40</v>
      </c>
    </row>
    <row r="24" spans="1:8" ht="14" customHeight="1" x14ac:dyDescent="0.35">
      <c r="A24" s="20" t="s">
        <v>44</v>
      </c>
      <c r="B24" s="20" t="s">
        <v>33</v>
      </c>
      <c r="C24" s="20" t="s">
        <v>23</v>
      </c>
      <c r="D24" s="20" t="s">
        <v>34</v>
      </c>
      <c r="E24" s="20" t="s">
        <v>45</v>
      </c>
      <c r="F24" s="14" t="s">
        <v>46</v>
      </c>
      <c r="G24" s="2">
        <f t="shared" si="0"/>
        <v>0.84389489953632157</v>
      </c>
      <c r="H24" s="20" t="s">
        <v>40</v>
      </c>
    </row>
    <row r="25" spans="1:8" ht="14" customHeight="1" x14ac:dyDescent="0.35">
      <c r="A25" s="20" t="s">
        <v>47</v>
      </c>
      <c r="B25" s="20" t="s">
        <v>33</v>
      </c>
      <c r="C25" s="20" t="s">
        <v>23</v>
      </c>
      <c r="D25" s="20" t="s">
        <v>34</v>
      </c>
      <c r="E25" s="20" t="s">
        <v>48</v>
      </c>
      <c r="F25" s="14" t="s">
        <v>49</v>
      </c>
      <c r="G25" s="19">
        <f t="shared" si="0"/>
        <v>1.0060150375939849</v>
      </c>
      <c r="H25" s="20"/>
    </row>
    <row r="26" spans="1:8" ht="14" customHeight="1" x14ac:dyDescent="0.35">
      <c r="A26" s="20" t="s">
        <v>50</v>
      </c>
      <c r="B26" s="20" t="s">
        <v>33</v>
      </c>
      <c r="C26" s="20" t="s">
        <v>23</v>
      </c>
      <c r="D26" s="20" t="s">
        <v>34</v>
      </c>
      <c r="E26" s="20" t="s">
        <v>51</v>
      </c>
      <c r="F26" s="14" t="s">
        <v>52</v>
      </c>
      <c r="G26" s="19">
        <f t="shared" si="0"/>
        <v>1.0027027027027027</v>
      </c>
      <c r="H26" s="20"/>
    </row>
    <row r="27" spans="1:8" ht="14" customHeight="1" x14ac:dyDescent="0.35">
      <c r="A27" s="20" t="s">
        <v>53</v>
      </c>
      <c r="B27" s="20" t="s">
        <v>33</v>
      </c>
      <c r="C27" s="20" t="s">
        <v>23</v>
      </c>
      <c r="D27" s="20" t="s">
        <v>34</v>
      </c>
      <c r="E27" s="20" t="s">
        <v>54</v>
      </c>
      <c r="F27" s="14" t="s">
        <v>55</v>
      </c>
      <c r="G27" s="2">
        <f t="shared" si="0"/>
        <v>0.91328600405679516</v>
      </c>
      <c r="H27" s="20" t="s">
        <v>40</v>
      </c>
    </row>
    <row r="28" spans="1:8" ht="14" customHeight="1" x14ac:dyDescent="0.35">
      <c r="A28" s="20" t="s">
        <v>56</v>
      </c>
      <c r="B28" s="20" t="s">
        <v>57</v>
      </c>
      <c r="C28" s="20" t="s">
        <v>23</v>
      </c>
      <c r="D28" s="20" t="s">
        <v>58</v>
      </c>
      <c r="E28" s="20" t="s">
        <v>59</v>
      </c>
      <c r="F28" s="14" t="s">
        <v>60</v>
      </c>
      <c r="G28" s="19">
        <f t="shared" si="0"/>
        <v>0.98535245651510528</v>
      </c>
      <c r="H28" s="20"/>
    </row>
    <row r="29" spans="1:8" ht="14" customHeight="1" x14ac:dyDescent="0.35">
      <c r="A29" s="20" t="s">
        <v>61</v>
      </c>
      <c r="B29" s="20" t="s">
        <v>33</v>
      </c>
      <c r="C29" s="20" t="s">
        <v>23</v>
      </c>
      <c r="D29" s="20" t="s">
        <v>58</v>
      </c>
      <c r="E29" s="20" t="s">
        <v>62</v>
      </c>
      <c r="F29" s="14" t="s">
        <v>63</v>
      </c>
      <c r="G29" s="2">
        <f t="shared" si="0"/>
        <v>1.0763642382887937</v>
      </c>
      <c r="H29" s="20" t="s">
        <v>64</v>
      </c>
    </row>
    <row r="30" spans="1:8" ht="14" customHeight="1" x14ac:dyDescent="0.35">
      <c r="A30" s="20" t="s">
        <v>65</v>
      </c>
      <c r="B30" s="20" t="s">
        <v>33</v>
      </c>
      <c r="C30" s="20" t="s">
        <v>23</v>
      </c>
      <c r="D30" s="20" t="s">
        <v>58</v>
      </c>
      <c r="E30" s="20" t="s">
        <v>66</v>
      </c>
      <c r="F30" s="14" t="s">
        <v>67</v>
      </c>
      <c r="G30" s="2">
        <f t="shared" si="0"/>
        <v>1.1349932763631632</v>
      </c>
      <c r="H30" s="20" t="s">
        <v>64</v>
      </c>
    </row>
    <row r="31" spans="1:8" ht="14" customHeight="1" x14ac:dyDescent="0.35">
      <c r="A31" s="20" t="s">
        <v>68</v>
      </c>
      <c r="B31" s="20" t="s">
        <v>33</v>
      </c>
      <c r="C31" s="20" t="s">
        <v>23</v>
      </c>
      <c r="D31" s="20" t="s">
        <v>58</v>
      </c>
      <c r="E31" s="20" t="s">
        <v>69</v>
      </c>
      <c r="F31" s="14" t="s">
        <v>70</v>
      </c>
      <c r="G31" s="2">
        <f t="shared" si="0"/>
        <v>1.1159521733143618</v>
      </c>
      <c r="H31" s="20" t="s">
        <v>64</v>
      </c>
    </row>
    <row r="32" spans="1:8" ht="14" customHeight="1" x14ac:dyDescent="0.35">
      <c r="A32" s="20" t="s">
        <v>71</v>
      </c>
      <c r="B32" s="20" t="s">
        <v>33</v>
      </c>
      <c r="C32" s="20" t="s">
        <v>23</v>
      </c>
      <c r="D32" s="20" t="s">
        <v>58</v>
      </c>
      <c r="E32" s="20" t="s">
        <v>72</v>
      </c>
      <c r="F32" s="14" t="s">
        <v>73</v>
      </c>
      <c r="G32" s="2">
        <f t="shared" si="0"/>
        <v>1.0804749048419935</v>
      </c>
      <c r="H32" s="20" t="s">
        <v>64</v>
      </c>
    </row>
    <row r="33" spans="1:8" ht="14" customHeight="1" x14ac:dyDescent="0.35">
      <c r="A33" s="20" t="s">
        <v>74</v>
      </c>
      <c r="B33" s="20" t="s">
        <v>33</v>
      </c>
      <c r="C33" s="20" t="s">
        <v>23</v>
      </c>
      <c r="D33" s="20" t="s">
        <v>58</v>
      </c>
      <c r="E33" s="20" t="s">
        <v>75</v>
      </c>
      <c r="F33" s="14" t="s">
        <v>76</v>
      </c>
      <c r="G33" s="2">
        <f t="shared" si="0"/>
        <v>1.0766883645240033</v>
      </c>
      <c r="H33" s="20" t="s">
        <v>77</v>
      </c>
    </row>
    <row r="34" spans="1:8" ht="14" customHeight="1" x14ac:dyDescent="0.35">
      <c r="A34" s="20" t="s">
        <v>78</v>
      </c>
      <c r="B34" s="20" t="s">
        <v>33</v>
      </c>
      <c r="C34" s="20" t="s">
        <v>23</v>
      </c>
      <c r="D34" s="20" t="s">
        <v>58</v>
      </c>
      <c r="E34" s="20" t="s">
        <v>79</v>
      </c>
      <c r="F34" s="14" t="s">
        <v>80</v>
      </c>
      <c r="G34" s="2">
        <f t="shared" si="0"/>
        <v>1.0953427065026362</v>
      </c>
      <c r="H34" s="20" t="s">
        <v>77</v>
      </c>
    </row>
    <row r="35" spans="1:8" ht="14" customHeight="1" x14ac:dyDescent="0.35">
      <c r="A35" s="20" t="s">
        <v>81</v>
      </c>
      <c r="B35" s="20" t="s">
        <v>33</v>
      </c>
      <c r="C35" s="20" t="s">
        <v>23</v>
      </c>
      <c r="D35" s="20" t="s">
        <v>82</v>
      </c>
      <c r="E35" s="20" t="s">
        <v>83</v>
      </c>
      <c r="F35" s="14" t="s">
        <v>84</v>
      </c>
      <c r="G35" s="19">
        <f t="shared" si="0"/>
        <v>0.98342325371049444</v>
      </c>
      <c r="H35" s="20"/>
    </row>
    <row r="36" spans="1:8" ht="14" customHeight="1" x14ac:dyDescent="0.35">
      <c r="A36" s="20" t="s">
        <v>85</v>
      </c>
      <c r="B36" s="20" t="s">
        <v>33</v>
      </c>
      <c r="C36" s="20" t="s">
        <v>23</v>
      </c>
      <c r="D36" s="20" t="s">
        <v>82</v>
      </c>
      <c r="E36" s="20" t="s">
        <v>86</v>
      </c>
      <c r="F36" s="14" t="s">
        <v>87</v>
      </c>
      <c r="G36" s="19">
        <f t="shared" si="0"/>
        <v>1.0013224334679622</v>
      </c>
      <c r="H36" s="20"/>
    </row>
    <row r="37" spans="1:8" ht="14" customHeight="1" x14ac:dyDescent="0.35">
      <c r="A37" s="20" t="s">
        <v>88</v>
      </c>
      <c r="B37" s="20" t="s">
        <v>33</v>
      </c>
      <c r="C37" s="20" t="s">
        <v>23</v>
      </c>
      <c r="D37" s="20" t="s">
        <v>82</v>
      </c>
      <c r="E37" s="20" t="s">
        <v>89</v>
      </c>
      <c r="F37" s="14" t="s">
        <v>90</v>
      </c>
      <c r="G37" s="19">
        <f t="shared" si="0"/>
        <v>0.97298050624573396</v>
      </c>
      <c r="H37" s="20"/>
    </row>
    <row r="38" spans="1:8" ht="14" customHeight="1" x14ac:dyDescent="0.35">
      <c r="A38" s="20" t="s">
        <v>91</v>
      </c>
      <c r="B38" s="20" t="s">
        <v>33</v>
      </c>
      <c r="C38" s="20" t="s">
        <v>23</v>
      </c>
      <c r="D38" s="20" t="s">
        <v>92</v>
      </c>
      <c r="E38" s="20" t="s">
        <v>93</v>
      </c>
      <c r="F38" s="14" t="s">
        <v>94</v>
      </c>
      <c r="G38" s="19">
        <f t="shared" si="0"/>
        <v>1.025808332404462</v>
      </c>
      <c r="H38" s="20"/>
    </row>
    <row r="39" spans="1:8" ht="14" customHeight="1" x14ac:dyDescent="0.35">
      <c r="A39" s="20" t="s">
        <v>95</v>
      </c>
      <c r="B39" s="20" t="s">
        <v>33</v>
      </c>
      <c r="C39" s="20" t="s">
        <v>23</v>
      </c>
      <c r="D39" s="20" t="s">
        <v>92</v>
      </c>
      <c r="E39" s="20" t="s">
        <v>96</v>
      </c>
      <c r="F39" s="14" t="s">
        <v>97</v>
      </c>
      <c r="G39" s="19">
        <f t="shared" si="0"/>
        <v>0.99236969371305739</v>
      </c>
      <c r="H39" s="20"/>
    </row>
    <row r="40" spans="1:8" ht="14" customHeight="1" x14ac:dyDescent="0.35">
      <c r="A40" s="20" t="s">
        <v>98</v>
      </c>
      <c r="B40" s="20" t="s">
        <v>33</v>
      </c>
      <c r="C40" s="20" t="s">
        <v>23</v>
      </c>
      <c r="D40" s="20" t="s">
        <v>58</v>
      </c>
      <c r="E40" s="20" t="s">
        <v>99</v>
      </c>
      <c r="F40" s="14" t="s">
        <v>99</v>
      </c>
      <c r="G40" s="19">
        <f t="shared" si="0"/>
        <v>1</v>
      </c>
      <c r="H40" s="20"/>
    </row>
    <row r="41" spans="1:8" ht="14" customHeight="1" x14ac:dyDescent="0.35">
      <c r="A41" s="20" t="s">
        <v>100</v>
      </c>
      <c r="B41" s="20" t="s">
        <v>33</v>
      </c>
      <c r="C41" s="20" t="s">
        <v>23</v>
      </c>
      <c r="D41" s="20" t="s">
        <v>58</v>
      </c>
      <c r="E41" s="20" t="s">
        <v>101</v>
      </c>
      <c r="F41" s="14" t="s">
        <v>102</v>
      </c>
      <c r="G41" s="12">
        <f t="shared" si="0"/>
        <v>0.97636917832912729</v>
      </c>
      <c r="H41" s="14" t="s">
        <v>103</v>
      </c>
    </row>
    <row r="42" spans="1:8" ht="14" customHeight="1" x14ac:dyDescent="0.35">
      <c r="A42" s="20" t="s">
        <v>104</v>
      </c>
      <c r="B42" s="20" t="s">
        <v>33</v>
      </c>
      <c r="C42" s="20" t="s">
        <v>23</v>
      </c>
      <c r="D42" s="20" t="s">
        <v>58</v>
      </c>
      <c r="E42" s="20" t="s">
        <v>105</v>
      </c>
      <c r="F42" s="14" t="s">
        <v>106</v>
      </c>
      <c r="G42" s="12">
        <f t="shared" si="0"/>
        <v>0.97116654176926098</v>
      </c>
      <c r="H42" s="14" t="s">
        <v>107</v>
      </c>
    </row>
    <row r="43" spans="1:8" ht="14" customHeight="1" x14ac:dyDescent="0.35">
      <c r="A43" s="20" t="s">
        <v>108</v>
      </c>
      <c r="B43" s="20" t="s">
        <v>33</v>
      </c>
      <c r="C43" s="20" t="s">
        <v>23</v>
      </c>
      <c r="D43" s="20" t="s">
        <v>58</v>
      </c>
      <c r="E43" s="20" t="s">
        <v>109</v>
      </c>
      <c r="F43" s="14" t="s">
        <v>110</v>
      </c>
      <c r="G43" s="12">
        <f t="shared" si="0"/>
        <v>0.92316119203711</v>
      </c>
      <c r="H43" s="14" t="s">
        <v>111</v>
      </c>
    </row>
    <row r="44" spans="1:8" ht="14" customHeight="1" x14ac:dyDescent="0.35">
      <c r="A44" s="20" t="s">
        <v>112</v>
      </c>
      <c r="B44" s="20" t="s">
        <v>33</v>
      </c>
      <c r="C44" s="20" t="s">
        <v>23</v>
      </c>
      <c r="D44" s="20" t="s">
        <v>58</v>
      </c>
      <c r="E44" s="20" t="s">
        <v>113</v>
      </c>
      <c r="F44" s="14" t="s">
        <v>114</v>
      </c>
      <c r="G44" s="19">
        <f t="shared" si="0"/>
        <v>1.0214505945950554</v>
      </c>
      <c r="H44" s="20"/>
    </row>
    <row r="45" spans="1:8" ht="14" customHeight="1" x14ac:dyDescent="0.35">
      <c r="A45" s="20" t="s">
        <v>115</v>
      </c>
      <c r="B45" s="20" t="s">
        <v>33</v>
      </c>
      <c r="C45" s="20" t="s">
        <v>23</v>
      </c>
      <c r="D45" s="20" t="s">
        <v>58</v>
      </c>
      <c r="E45" s="20" t="s">
        <v>116</v>
      </c>
      <c r="F45" s="14" t="s">
        <v>117</v>
      </c>
      <c r="G45" s="19">
        <f t="shared" si="0"/>
        <v>0.98171746926229519</v>
      </c>
      <c r="H45" s="20"/>
    </row>
    <row r="46" spans="1:8" ht="14" customHeight="1" x14ac:dyDescent="0.35">
      <c r="A46" s="20" t="s">
        <v>118</v>
      </c>
      <c r="B46" s="20" t="s">
        <v>33</v>
      </c>
      <c r="C46" s="20" t="s">
        <v>23</v>
      </c>
      <c r="D46" s="20" t="s">
        <v>58</v>
      </c>
      <c r="E46" s="20" t="s">
        <v>119</v>
      </c>
      <c r="F46" s="14" t="s">
        <v>120</v>
      </c>
      <c r="G46" s="19">
        <f t="shared" si="0"/>
        <v>1.0268801552644349</v>
      </c>
      <c r="H46" s="20"/>
    </row>
    <row r="47" spans="1:8" ht="14" customHeight="1" x14ac:dyDescent="0.35">
      <c r="A47" s="20" t="s">
        <v>121</v>
      </c>
      <c r="B47" s="20" t="s">
        <v>33</v>
      </c>
      <c r="C47" s="20" t="s">
        <v>23</v>
      </c>
      <c r="D47" s="20" t="s">
        <v>58</v>
      </c>
      <c r="E47" s="20" t="s">
        <v>122</v>
      </c>
      <c r="F47" s="14" t="s">
        <v>123</v>
      </c>
      <c r="G47" s="19">
        <f t="shared" si="0"/>
        <v>0.99337377307058272</v>
      </c>
      <c r="H47" s="20"/>
    </row>
    <row r="48" spans="1:8" ht="14" customHeight="1" x14ac:dyDescent="0.35">
      <c r="A48" s="20" t="s">
        <v>124</v>
      </c>
      <c r="B48" s="20" t="s">
        <v>33</v>
      </c>
      <c r="C48" s="20" t="s">
        <v>23</v>
      </c>
      <c r="D48" s="20" t="s">
        <v>58</v>
      </c>
      <c r="E48" s="20" t="s">
        <v>125</v>
      </c>
      <c r="F48" s="14" t="s">
        <v>126</v>
      </c>
      <c r="G48" s="19">
        <f t="shared" si="0"/>
        <v>1.005645464809936</v>
      </c>
      <c r="H48" s="20"/>
    </row>
    <row r="49" spans="1:8" ht="14.25" customHeight="1" x14ac:dyDescent="0.35">
      <c r="A49" s="20" t="s">
        <v>127</v>
      </c>
      <c r="B49" s="20" t="s">
        <v>33</v>
      </c>
      <c r="C49" s="14" t="s">
        <v>23</v>
      </c>
      <c r="D49" s="14" t="s">
        <v>58</v>
      </c>
      <c r="E49" s="20" t="s">
        <v>128</v>
      </c>
      <c r="F49" s="14" t="s">
        <v>129</v>
      </c>
      <c r="G49" s="7" t="s">
        <v>128</v>
      </c>
      <c r="H49" s="18" t="s">
        <v>130</v>
      </c>
    </row>
    <row r="50" spans="1:8" ht="14.25" customHeight="1" x14ac:dyDescent="0.35">
      <c r="A50" s="20" t="s">
        <v>131</v>
      </c>
      <c r="B50" s="20" t="s">
        <v>33</v>
      </c>
      <c r="C50" s="14" t="s">
        <v>23</v>
      </c>
      <c r="D50" s="14" t="s">
        <v>58</v>
      </c>
      <c r="E50" s="20" t="s">
        <v>128</v>
      </c>
      <c r="F50" s="14" t="s">
        <v>132</v>
      </c>
      <c r="G50" s="7" t="s">
        <v>128</v>
      </c>
      <c r="H50" s="18" t="s">
        <v>130</v>
      </c>
    </row>
    <row r="51" spans="1:8" ht="14" customHeight="1" x14ac:dyDescent="0.35">
      <c r="A51" s="20" t="s">
        <v>133</v>
      </c>
      <c r="B51" s="20" t="s">
        <v>33</v>
      </c>
      <c r="C51" s="20" t="s">
        <v>23</v>
      </c>
      <c r="D51" s="20" t="s">
        <v>58</v>
      </c>
      <c r="E51" s="20" t="s">
        <v>134</v>
      </c>
      <c r="F51" s="14" t="s">
        <v>135</v>
      </c>
      <c r="G51" s="2">
        <f t="shared" ref="G51:G75" si="1">E51/F51</f>
        <v>0.91514283492406212</v>
      </c>
      <c r="H51" s="20" t="s">
        <v>40</v>
      </c>
    </row>
    <row r="52" spans="1:8" ht="14" customHeight="1" x14ac:dyDescent="0.35">
      <c r="A52" s="20" t="s">
        <v>136</v>
      </c>
      <c r="B52" s="20" t="s">
        <v>33</v>
      </c>
      <c r="C52" s="20" t="s">
        <v>23</v>
      </c>
      <c r="D52" s="20" t="s">
        <v>58</v>
      </c>
      <c r="E52" s="20" t="s">
        <v>137</v>
      </c>
      <c r="F52" s="14" t="s">
        <v>138</v>
      </c>
      <c r="G52" s="2">
        <f t="shared" si="1"/>
        <v>0.91755386310944276</v>
      </c>
      <c r="H52" s="20" t="s">
        <v>40</v>
      </c>
    </row>
    <row r="53" spans="1:8" ht="14" customHeight="1" x14ac:dyDescent="0.35">
      <c r="A53" s="20" t="s">
        <v>139</v>
      </c>
      <c r="B53" s="20" t="s">
        <v>33</v>
      </c>
      <c r="C53" s="20" t="s">
        <v>23</v>
      </c>
      <c r="D53" s="20" t="s">
        <v>58</v>
      </c>
      <c r="E53" s="20" t="s">
        <v>140</v>
      </c>
      <c r="F53" s="14" t="s">
        <v>141</v>
      </c>
      <c r="G53" s="2">
        <f t="shared" si="1"/>
        <v>0.9089214510033885</v>
      </c>
      <c r="H53" s="20" t="s">
        <v>40</v>
      </c>
    </row>
    <row r="54" spans="1:8" ht="14" customHeight="1" x14ac:dyDescent="0.35">
      <c r="A54" s="20" t="s">
        <v>142</v>
      </c>
      <c r="B54" s="20" t="s">
        <v>33</v>
      </c>
      <c r="C54" s="20" t="s">
        <v>23</v>
      </c>
      <c r="D54" s="20" t="s">
        <v>58</v>
      </c>
      <c r="E54" s="20" t="s">
        <v>143</v>
      </c>
      <c r="F54" s="14" t="s">
        <v>144</v>
      </c>
      <c r="G54" s="19">
        <f t="shared" si="1"/>
        <v>1.02501078050884</v>
      </c>
      <c r="H54" s="20"/>
    </row>
    <row r="55" spans="1:8" ht="14" customHeight="1" x14ac:dyDescent="0.35">
      <c r="A55" s="20" t="s">
        <v>145</v>
      </c>
      <c r="B55" s="20" t="s">
        <v>33</v>
      </c>
      <c r="C55" s="20" t="s">
        <v>23</v>
      </c>
      <c r="D55" s="20" t="s">
        <v>58</v>
      </c>
      <c r="E55" s="20" t="s">
        <v>146</v>
      </c>
      <c r="F55" s="14" t="s">
        <v>147</v>
      </c>
      <c r="G55" s="19">
        <f t="shared" si="1"/>
        <v>1.0194805194805194</v>
      </c>
      <c r="H55" s="20"/>
    </row>
    <row r="56" spans="1:8" ht="14" customHeight="1" x14ac:dyDescent="0.35">
      <c r="A56" s="20" t="s">
        <v>148</v>
      </c>
      <c r="B56" s="20" t="s">
        <v>33</v>
      </c>
      <c r="C56" s="20" t="s">
        <v>23</v>
      </c>
      <c r="D56" s="20" t="s">
        <v>58</v>
      </c>
      <c r="E56" s="20" t="s">
        <v>149</v>
      </c>
      <c r="F56" s="14">
        <v>9.3140000000000001</v>
      </c>
      <c r="G56" s="2">
        <f t="shared" si="1"/>
        <v>0.90734378355164269</v>
      </c>
      <c r="H56" s="20" t="s">
        <v>40</v>
      </c>
    </row>
    <row r="57" spans="1:8" ht="14" customHeight="1" x14ac:dyDescent="0.35">
      <c r="A57" s="20" t="s">
        <v>150</v>
      </c>
      <c r="B57" s="20" t="s">
        <v>33</v>
      </c>
      <c r="C57" s="20" t="s">
        <v>23</v>
      </c>
      <c r="D57" s="20" t="s">
        <v>58</v>
      </c>
      <c r="E57" s="20" t="s">
        <v>151</v>
      </c>
      <c r="F57" s="14" t="s">
        <v>152</v>
      </c>
      <c r="G57" s="19">
        <f t="shared" si="1"/>
        <v>1.0220713073005094</v>
      </c>
      <c r="H57" s="20"/>
    </row>
    <row r="58" spans="1:8" ht="14" customHeight="1" x14ac:dyDescent="0.35">
      <c r="A58" s="20" t="s">
        <v>153</v>
      </c>
      <c r="B58" s="20" t="s">
        <v>33</v>
      </c>
      <c r="C58" s="20" t="s">
        <v>23</v>
      </c>
      <c r="D58" s="20" t="s">
        <v>58</v>
      </c>
      <c r="E58" s="20" t="s">
        <v>154</v>
      </c>
      <c r="F58" s="14" t="s">
        <v>155</v>
      </c>
      <c r="G58" s="19">
        <f t="shared" si="1"/>
        <v>1.0061983471074381</v>
      </c>
      <c r="H58" s="20"/>
    </row>
    <row r="59" spans="1:8" ht="14" customHeight="1" x14ac:dyDescent="0.35">
      <c r="A59" s="20" t="s">
        <v>156</v>
      </c>
      <c r="B59" s="20" t="s">
        <v>33</v>
      </c>
      <c r="C59" s="20" t="s">
        <v>23</v>
      </c>
      <c r="D59" s="20" t="s">
        <v>58</v>
      </c>
      <c r="E59" s="20" t="s">
        <v>157</v>
      </c>
      <c r="F59" s="14" t="s">
        <v>158</v>
      </c>
      <c r="G59" s="19">
        <f t="shared" si="1"/>
        <v>1.0166060414360272</v>
      </c>
      <c r="H59" s="20"/>
    </row>
    <row r="60" spans="1:8" ht="14" customHeight="1" x14ac:dyDescent="0.35">
      <c r="A60" s="20" t="s">
        <v>159</v>
      </c>
      <c r="B60" s="20" t="s">
        <v>33</v>
      </c>
      <c r="C60" s="20" t="s">
        <v>23</v>
      </c>
      <c r="D60" s="20" t="s">
        <v>58</v>
      </c>
      <c r="E60" s="20" t="s">
        <v>160</v>
      </c>
      <c r="F60" s="14" t="s">
        <v>161</v>
      </c>
      <c r="G60" s="19">
        <f t="shared" si="1"/>
        <v>1.0321371183717194</v>
      </c>
      <c r="H60" s="20"/>
    </row>
    <row r="61" spans="1:8" ht="14" customHeight="1" x14ac:dyDescent="0.35">
      <c r="A61" s="20" t="s">
        <v>162</v>
      </c>
      <c r="B61" s="20" t="s">
        <v>33</v>
      </c>
      <c r="C61" s="20" t="s">
        <v>23</v>
      </c>
      <c r="D61" s="20" t="s">
        <v>58</v>
      </c>
      <c r="E61" s="20" t="s">
        <v>163</v>
      </c>
      <c r="F61" s="14" t="s">
        <v>164</v>
      </c>
      <c r="G61" s="19">
        <f t="shared" si="1"/>
        <v>0.98363636363636364</v>
      </c>
      <c r="H61" s="20"/>
    </row>
    <row r="62" spans="1:8" ht="14" customHeight="1" x14ac:dyDescent="0.35">
      <c r="A62" s="20" t="s">
        <v>165</v>
      </c>
      <c r="B62" s="20" t="s">
        <v>33</v>
      </c>
      <c r="C62" s="20" t="s">
        <v>23</v>
      </c>
      <c r="D62" s="20" t="s">
        <v>58</v>
      </c>
      <c r="E62" s="20" t="s">
        <v>166</v>
      </c>
      <c r="F62" s="14" t="s">
        <v>167</v>
      </c>
      <c r="G62" s="2">
        <f t="shared" si="1"/>
        <v>1.1987433410736239</v>
      </c>
      <c r="H62" s="20" t="s">
        <v>168</v>
      </c>
    </row>
    <row r="63" spans="1:8" ht="14" customHeight="1" x14ac:dyDescent="0.35">
      <c r="A63" s="20" t="s">
        <v>169</v>
      </c>
      <c r="B63" s="20" t="s">
        <v>33</v>
      </c>
      <c r="C63" s="20" t="s">
        <v>23</v>
      </c>
      <c r="D63" s="20" t="s">
        <v>170</v>
      </c>
      <c r="E63" s="20" t="s">
        <v>171</v>
      </c>
      <c r="F63" s="14" t="s">
        <v>172</v>
      </c>
      <c r="G63" s="19">
        <f t="shared" si="1"/>
        <v>1.008120410989215</v>
      </c>
      <c r="H63" s="20"/>
    </row>
    <row r="64" spans="1:8" ht="14" customHeight="1" x14ac:dyDescent="0.35">
      <c r="A64" s="20" t="s">
        <v>173</v>
      </c>
      <c r="B64" s="20" t="s">
        <v>33</v>
      </c>
      <c r="C64" s="20" t="s">
        <v>23</v>
      </c>
      <c r="D64" s="20" t="s">
        <v>170</v>
      </c>
      <c r="E64" s="20" t="s">
        <v>174</v>
      </c>
      <c r="F64" s="14" t="s">
        <v>175</v>
      </c>
      <c r="G64" s="2">
        <f t="shared" si="1"/>
        <v>1.0775012249497771</v>
      </c>
      <c r="H64" s="20" t="s">
        <v>168</v>
      </c>
    </row>
    <row r="65" spans="1:8" ht="14" customHeight="1" x14ac:dyDescent="0.35">
      <c r="A65" s="20" t="s">
        <v>176</v>
      </c>
      <c r="B65" s="20" t="s">
        <v>33</v>
      </c>
      <c r="C65" s="20" t="s">
        <v>23</v>
      </c>
      <c r="D65" s="20" t="s">
        <v>170</v>
      </c>
      <c r="E65" s="20" t="s">
        <v>177</v>
      </c>
      <c r="F65" s="14" t="s">
        <v>178</v>
      </c>
      <c r="G65" s="19">
        <f t="shared" si="1"/>
        <v>1.0101939666106481</v>
      </c>
      <c r="H65" s="20"/>
    </row>
    <row r="66" spans="1:8" ht="14" customHeight="1" x14ac:dyDescent="0.35">
      <c r="A66" s="20" t="s">
        <v>179</v>
      </c>
      <c r="B66" s="20" t="s">
        <v>33</v>
      </c>
      <c r="C66" s="20" t="s">
        <v>23</v>
      </c>
      <c r="D66" s="20" t="s">
        <v>170</v>
      </c>
      <c r="E66" s="20" t="s">
        <v>180</v>
      </c>
      <c r="F66" s="14" t="s">
        <v>181</v>
      </c>
      <c r="G66" s="2">
        <f t="shared" si="1"/>
        <v>1.1021351500467489</v>
      </c>
      <c r="H66" s="20" t="s">
        <v>168</v>
      </c>
    </row>
    <row r="67" spans="1:8" ht="14" customHeight="1" x14ac:dyDescent="0.35">
      <c r="A67" s="20" t="s">
        <v>182</v>
      </c>
      <c r="B67" s="20" t="s">
        <v>33</v>
      </c>
      <c r="C67" s="20" t="s">
        <v>23</v>
      </c>
      <c r="D67" s="20" t="s">
        <v>170</v>
      </c>
      <c r="E67" s="20" t="s">
        <v>183</v>
      </c>
      <c r="F67" s="14" t="s">
        <v>184</v>
      </c>
      <c r="G67" s="19">
        <f t="shared" si="1"/>
        <v>1.0004980865840567</v>
      </c>
      <c r="H67" s="20"/>
    </row>
    <row r="68" spans="1:8" ht="14" customHeight="1" x14ac:dyDescent="0.35">
      <c r="A68" s="20" t="s">
        <v>185</v>
      </c>
      <c r="B68" s="20" t="s">
        <v>33</v>
      </c>
      <c r="C68" s="20" t="s">
        <v>23</v>
      </c>
      <c r="D68" s="20" t="s">
        <v>170</v>
      </c>
      <c r="E68" s="20" t="s">
        <v>186</v>
      </c>
      <c r="F68" s="22" t="s">
        <v>187</v>
      </c>
      <c r="G68" s="19">
        <f t="shared" si="1"/>
        <v>1.0401614782577984</v>
      </c>
      <c r="H68" s="20"/>
    </row>
    <row r="69" spans="1:8" ht="14" customHeight="1" x14ac:dyDescent="0.35">
      <c r="A69" s="20" t="s">
        <v>188</v>
      </c>
      <c r="B69" s="20" t="s">
        <v>33</v>
      </c>
      <c r="C69" s="20" t="s">
        <v>23</v>
      </c>
      <c r="D69" s="20" t="s">
        <v>170</v>
      </c>
      <c r="E69" s="20" t="s">
        <v>189</v>
      </c>
      <c r="F69" s="14" t="s">
        <v>190</v>
      </c>
      <c r="G69" s="19">
        <f t="shared" si="1"/>
        <v>1.0088899897333752</v>
      </c>
      <c r="H69" s="20"/>
    </row>
    <row r="70" spans="1:8" ht="14" customHeight="1" x14ac:dyDescent="0.35">
      <c r="A70" s="20" t="s">
        <v>191</v>
      </c>
      <c r="B70" s="20" t="s">
        <v>33</v>
      </c>
      <c r="C70" s="20" t="s">
        <v>23</v>
      </c>
      <c r="D70" s="20" t="s">
        <v>170</v>
      </c>
      <c r="E70" s="20" t="s">
        <v>192</v>
      </c>
      <c r="F70" s="14" t="s">
        <v>193</v>
      </c>
      <c r="G70" s="19">
        <f t="shared" si="1"/>
        <v>1.011706437689498</v>
      </c>
      <c r="H70" s="20"/>
    </row>
    <row r="71" spans="1:8" ht="14" customHeight="1" x14ac:dyDescent="0.35">
      <c r="A71" s="20" t="s">
        <v>194</v>
      </c>
      <c r="B71" s="20" t="s">
        <v>33</v>
      </c>
      <c r="C71" s="20" t="s">
        <v>23</v>
      </c>
      <c r="D71" s="20" t="s">
        <v>170</v>
      </c>
      <c r="E71" s="20" t="s">
        <v>195</v>
      </c>
      <c r="F71" s="14" t="s">
        <v>196</v>
      </c>
      <c r="G71" s="19">
        <f t="shared" si="1"/>
        <v>1.0177915559184438</v>
      </c>
      <c r="H71" s="20"/>
    </row>
    <row r="72" spans="1:8" ht="14" customHeight="1" x14ac:dyDescent="0.35">
      <c r="A72" s="20" t="s">
        <v>197</v>
      </c>
      <c r="B72" s="20" t="s">
        <v>33</v>
      </c>
      <c r="C72" s="20" t="s">
        <v>23</v>
      </c>
      <c r="D72" s="20" t="s">
        <v>58</v>
      </c>
      <c r="E72" s="20" t="s">
        <v>198</v>
      </c>
      <c r="F72" s="14" t="s">
        <v>199</v>
      </c>
      <c r="G72" s="19">
        <f t="shared" si="1"/>
        <v>0.99937352170299809</v>
      </c>
      <c r="H72" s="20"/>
    </row>
    <row r="73" spans="1:8" ht="14" customHeight="1" x14ac:dyDescent="0.35">
      <c r="A73" s="20" t="s">
        <v>200</v>
      </c>
      <c r="B73" s="20" t="s">
        <v>33</v>
      </c>
      <c r="C73" s="20" t="s">
        <v>23</v>
      </c>
      <c r="D73" s="20" t="s">
        <v>170</v>
      </c>
      <c r="E73" s="20" t="s">
        <v>201</v>
      </c>
      <c r="F73" s="14" t="s">
        <v>202</v>
      </c>
      <c r="G73" s="19">
        <f t="shared" si="1"/>
        <v>0.9934615730157621</v>
      </c>
      <c r="H73" s="20"/>
    </row>
    <row r="74" spans="1:8" ht="14" customHeight="1" x14ac:dyDescent="0.35">
      <c r="A74" s="20" t="s">
        <v>203</v>
      </c>
      <c r="B74" s="20" t="s">
        <v>33</v>
      </c>
      <c r="C74" s="20" t="s">
        <v>23</v>
      </c>
      <c r="D74" s="20" t="s">
        <v>170</v>
      </c>
      <c r="E74" s="20" t="s">
        <v>204</v>
      </c>
      <c r="F74" s="14" t="s">
        <v>205</v>
      </c>
      <c r="G74" s="19">
        <f t="shared" si="1"/>
        <v>1.0114134769419543</v>
      </c>
      <c r="H74" s="20"/>
    </row>
    <row r="75" spans="1:8" ht="14" customHeight="1" x14ac:dyDescent="0.35">
      <c r="A75" s="20" t="s">
        <v>206</v>
      </c>
      <c r="B75" s="20" t="s">
        <v>33</v>
      </c>
      <c r="C75" s="20" t="s">
        <v>23</v>
      </c>
      <c r="D75" s="20" t="s">
        <v>34</v>
      </c>
      <c r="E75" s="20" t="s">
        <v>207</v>
      </c>
      <c r="F75" s="14" t="s">
        <v>208</v>
      </c>
      <c r="G75" s="2">
        <f t="shared" si="1"/>
        <v>1.1702986279257463</v>
      </c>
      <c r="H75" s="20" t="s">
        <v>168</v>
      </c>
    </row>
    <row r="76" spans="1:8" ht="14" customHeight="1" x14ac:dyDescent="0.35">
      <c r="A76" s="20" t="s">
        <v>209</v>
      </c>
      <c r="B76" s="20" t="s">
        <v>210</v>
      </c>
      <c r="C76" s="20" t="s">
        <v>23</v>
      </c>
      <c r="D76" s="20" t="s">
        <v>58</v>
      </c>
      <c r="E76" s="20">
        <v>0.21</v>
      </c>
      <c r="F76" s="20" t="s">
        <v>128</v>
      </c>
      <c r="G76" s="7" t="s">
        <v>128</v>
      </c>
      <c r="H76" s="7" t="s">
        <v>211</v>
      </c>
    </row>
    <row r="77" spans="1:8" ht="14" customHeight="1" x14ac:dyDescent="0.35">
      <c r="A77" s="20" t="s">
        <v>212</v>
      </c>
      <c r="B77" s="20" t="s">
        <v>210</v>
      </c>
      <c r="C77" s="20" t="s">
        <v>23</v>
      </c>
      <c r="D77" s="20" t="s">
        <v>58</v>
      </c>
      <c r="E77" s="20">
        <f>AVERAGE(7.92,8,7.97)</f>
        <v>7.9633333333333338</v>
      </c>
      <c r="F77" s="20" t="s">
        <v>128</v>
      </c>
      <c r="G77" s="7" t="s">
        <v>128</v>
      </c>
      <c r="H77" s="7" t="s">
        <v>211</v>
      </c>
    </row>
    <row r="78" spans="1:8" ht="14" customHeight="1" x14ac:dyDescent="0.35">
      <c r="A78" s="20" t="s">
        <v>213</v>
      </c>
      <c r="B78" s="20" t="s">
        <v>210</v>
      </c>
      <c r="C78" s="20" t="s">
        <v>23</v>
      </c>
      <c r="D78" s="20" t="s">
        <v>58</v>
      </c>
      <c r="E78" s="20">
        <f>AVERAGE(9,8.81,8.64)</f>
        <v>8.8166666666666682</v>
      </c>
      <c r="F78" s="20" t="s">
        <v>128</v>
      </c>
      <c r="G78" s="7" t="s">
        <v>128</v>
      </c>
      <c r="H78" s="7" t="s">
        <v>211</v>
      </c>
    </row>
    <row r="79" spans="1:8" ht="14" customHeight="1" x14ac:dyDescent="0.35">
      <c r="A79" s="20" t="s">
        <v>214</v>
      </c>
      <c r="B79" s="20" t="s">
        <v>33</v>
      </c>
      <c r="C79" s="20" t="s">
        <v>23</v>
      </c>
      <c r="D79" s="20" t="s">
        <v>58</v>
      </c>
      <c r="E79" s="20" t="s">
        <v>215</v>
      </c>
      <c r="F79" s="14" t="s">
        <v>216</v>
      </c>
      <c r="G79" s="2">
        <f t="shared" ref="G79:G97" si="2">E79/F79</f>
        <v>1.152511109247925</v>
      </c>
      <c r="H79" s="20" t="s">
        <v>217</v>
      </c>
    </row>
    <row r="80" spans="1:8" ht="14" customHeight="1" x14ac:dyDescent="0.35">
      <c r="A80" s="20" t="s">
        <v>218</v>
      </c>
      <c r="B80" s="20" t="s">
        <v>33</v>
      </c>
      <c r="C80" s="20" t="s">
        <v>23</v>
      </c>
      <c r="D80" s="20" t="s">
        <v>58</v>
      </c>
      <c r="E80" s="20" t="s">
        <v>219</v>
      </c>
      <c r="F80" s="14" t="s">
        <v>220</v>
      </c>
      <c r="G80" s="19">
        <f t="shared" si="2"/>
        <v>1.011869212276711</v>
      </c>
      <c r="H80" s="20"/>
    </row>
    <row r="81" spans="1:8" ht="14" customHeight="1" x14ac:dyDescent="0.35">
      <c r="A81" s="20" t="s">
        <v>221</v>
      </c>
      <c r="B81" s="20" t="s">
        <v>33</v>
      </c>
      <c r="C81" s="20" t="s">
        <v>23</v>
      </c>
      <c r="D81" s="20" t="s">
        <v>58</v>
      </c>
      <c r="E81" s="20" t="s">
        <v>222</v>
      </c>
      <c r="F81" s="14" t="s">
        <v>223</v>
      </c>
      <c r="G81" s="2">
        <f t="shared" si="2"/>
        <v>0.90093210670679891</v>
      </c>
      <c r="H81" s="20" t="s">
        <v>40</v>
      </c>
    </row>
    <row r="82" spans="1:8" ht="14" customHeight="1" x14ac:dyDescent="0.35">
      <c r="A82" s="20" t="s">
        <v>224</v>
      </c>
      <c r="B82" s="20" t="s">
        <v>33</v>
      </c>
      <c r="C82" s="20" t="s">
        <v>23</v>
      </c>
      <c r="D82" s="20" t="s">
        <v>58</v>
      </c>
      <c r="E82" s="20" t="s">
        <v>225</v>
      </c>
      <c r="F82" s="14" t="s">
        <v>226</v>
      </c>
      <c r="G82" s="19">
        <f t="shared" si="2"/>
        <v>0.99930509308857163</v>
      </c>
      <c r="H82" s="20"/>
    </row>
    <row r="83" spans="1:8" ht="14" customHeight="1" x14ac:dyDescent="0.35">
      <c r="A83" s="20" t="s">
        <v>227</v>
      </c>
      <c r="B83" s="20" t="s">
        <v>33</v>
      </c>
      <c r="C83" s="20" t="s">
        <v>23</v>
      </c>
      <c r="D83" s="20" t="s">
        <v>58</v>
      </c>
      <c r="E83" s="20" t="s">
        <v>228</v>
      </c>
      <c r="F83" s="14" t="s">
        <v>229</v>
      </c>
      <c r="G83" s="2">
        <f t="shared" si="2"/>
        <v>2.2696050372066399</v>
      </c>
      <c r="H83" s="20" t="s">
        <v>168</v>
      </c>
    </row>
    <row r="84" spans="1:8" ht="14" customHeight="1" x14ac:dyDescent="0.35">
      <c r="A84" s="20" t="s">
        <v>230</v>
      </c>
      <c r="B84" s="20" t="s">
        <v>33</v>
      </c>
      <c r="C84" s="20" t="s">
        <v>23</v>
      </c>
      <c r="D84" s="20" t="s">
        <v>58</v>
      </c>
      <c r="E84" s="20" t="s">
        <v>231</v>
      </c>
      <c r="F84" s="14" t="s">
        <v>232</v>
      </c>
      <c r="G84" s="19">
        <f t="shared" si="2"/>
        <v>1.0013010107349731</v>
      </c>
      <c r="H84" s="20"/>
    </row>
    <row r="85" spans="1:8" ht="14" customHeight="1" x14ac:dyDescent="0.35">
      <c r="A85" s="20" t="s">
        <v>233</v>
      </c>
      <c r="B85" s="20" t="s">
        <v>33</v>
      </c>
      <c r="C85" s="20" t="s">
        <v>23</v>
      </c>
      <c r="D85" s="20" t="s">
        <v>170</v>
      </c>
      <c r="E85" s="20" t="s">
        <v>234</v>
      </c>
      <c r="F85" s="14" t="s">
        <v>235</v>
      </c>
      <c r="G85" s="19">
        <f t="shared" si="2"/>
        <v>1.0048104643381719</v>
      </c>
      <c r="H85" s="20"/>
    </row>
    <row r="86" spans="1:8" ht="14" customHeight="1" x14ac:dyDescent="0.35">
      <c r="A86" s="20" t="s">
        <v>236</v>
      </c>
      <c r="B86" s="20" t="s">
        <v>33</v>
      </c>
      <c r="C86" s="20" t="s">
        <v>23</v>
      </c>
      <c r="D86" s="20" t="s">
        <v>170</v>
      </c>
      <c r="E86" s="20" t="s">
        <v>237</v>
      </c>
      <c r="F86" s="14" t="s">
        <v>238</v>
      </c>
      <c r="G86" s="19">
        <f t="shared" si="2"/>
        <v>1.0025994980279669</v>
      </c>
      <c r="H86" s="20"/>
    </row>
    <row r="87" spans="1:8" ht="14" customHeight="1" x14ac:dyDescent="0.35">
      <c r="A87" s="20" t="s">
        <v>239</v>
      </c>
      <c r="B87" s="20" t="s">
        <v>33</v>
      </c>
      <c r="C87" s="20" t="s">
        <v>23</v>
      </c>
      <c r="D87" s="20" t="s">
        <v>170</v>
      </c>
      <c r="E87" s="20" t="s">
        <v>240</v>
      </c>
      <c r="F87" s="14" t="s">
        <v>241</v>
      </c>
      <c r="G87" s="19">
        <f t="shared" si="2"/>
        <v>0.99563240397271757</v>
      </c>
      <c r="H87" s="20"/>
    </row>
    <row r="88" spans="1:8" ht="14" customHeight="1" x14ac:dyDescent="0.35">
      <c r="A88" s="20" t="s">
        <v>242</v>
      </c>
      <c r="B88" s="20" t="s">
        <v>33</v>
      </c>
      <c r="C88" s="20" t="s">
        <v>23</v>
      </c>
      <c r="D88" s="20" t="s">
        <v>170</v>
      </c>
      <c r="E88" s="20" t="s">
        <v>243</v>
      </c>
      <c r="F88" s="14" t="s">
        <v>244</v>
      </c>
      <c r="G88" s="19">
        <f t="shared" si="2"/>
        <v>1.0038424182008514</v>
      </c>
      <c r="H88" s="20"/>
    </row>
    <row r="89" spans="1:8" ht="14" customHeight="1" x14ac:dyDescent="0.35">
      <c r="A89" s="20" t="s">
        <v>245</v>
      </c>
      <c r="B89" s="20" t="s">
        <v>33</v>
      </c>
      <c r="C89" s="20" t="s">
        <v>23</v>
      </c>
      <c r="D89" s="20" t="s">
        <v>170</v>
      </c>
      <c r="E89" s="20" t="s">
        <v>246</v>
      </c>
      <c r="F89" s="14" t="s">
        <v>247</v>
      </c>
      <c r="G89" s="19">
        <f t="shared" si="2"/>
        <v>1.006652119258735</v>
      </c>
      <c r="H89" s="20"/>
    </row>
    <row r="90" spans="1:8" ht="14" customHeight="1" x14ac:dyDescent="0.35">
      <c r="A90" s="20" t="s">
        <v>248</v>
      </c>
      <c r="B90" s="20" t="s">
        <v>33</v>
      </c>
      <c r="C90" s="20" t="s">
        <v>23</v>
      </c>
      <c r="D90" s="20" t="s">
        <v>170</v>
      </c>
      <c r="E90" s="20" t="s">
        <v>249</v>
      </c>
      <c r="F90" s="14" t="s">
        <v>250</v>
      </c>
      <c r="G90" s="19">
        <f t="shared" si="2"/>
        <v>1.0026842259782744</v>
      </c>
      <c r="H90" s="20"/>
    </row>
    <row r="91" spans="1:8" ht="14" customHeight="1" x14ac:dyDescent="0.35">
      <c r="A91" s="20" t="s">
        <v>251</v>
      </c>
      <c r="B91" s="20" t="s">
        <v>33</v>
      </c>
      <c r="C91" s="20" t="s">
        <v>23</v>
      </c>
      <c r="D91" s="20" t="s">
        <v>170</v>
      </c>
      <c r="E91" s="20" t="s">
        <v>252</v>
      </c>
      <c r="F91" s="14" t="s">
        <v>253</v>
      </c>
      <c r="G91" s="2">
        <f t="shared" si="2"/>
        <v>1.086462903420695</v>
      </c>
      <c r="H91" s="20" t="s">
        <v>254</v>
      </c>
    </row>
    <row r="92" spans="1:8" ht="14" customHeight="1" x14ac:dyDescent="0.35">
      <c r="A92" s="20" t="s">
        <v>255</v>
      </c>
      <c r="B92" s="20" t="s">
        <v>33</v>
      </c>
      <c r="C92" s="20" t="s">
        <v>23</v>
      </c>
      <c r="D92" s="20" t="s">
        <v>170</v>
      </c>
      <c r="E92" s="20" t="s">
        <v>256</v>
      </c>
      <c r="F92" s="14" t="s">
        <v>257</v>
      </c>
      <c r="G92" s="2">
        <f t="shared" si="2"/>
        <v>0.93316628504773846</v>
      </c>
      <c r="H92" s="20" t="s">
        <v>40</v>
      </c>
    </row>
    <row r="93" spans="1:8" ht="14" customHeight="1" x14ac:dyDescent="0.35">
      <c r="A93" s="20" t="s">
        <v>258</v>
      </c>
      <c r="B93" s="20" t="s">
        <v>33</v>
      </c>
      <c r="C93" s="20" t="s">
        <v>23</v>
      </c>
      <c r="D93" s="20" t="s">
        <v>170</v>
      </c>
      <c r="E93" s="20" t="s">
        <v>259</v>
      </c>
      <c r="F93" s="14" t="s">
        <v>260</v>
      </c>
      <c r="G93" s="19">
        <f t="shared" si="2"/>
        <v>0.95938682062512448</v>
      </c>
      <c r="H93" s="20"/>
    </row>
    <row r="94" spans="1:8" ht="14" customHeight="1" x14ac:dyDescent="0.35">
      <c r="A94" s="20" t="s">
        <v>261</v>
      </c>
      <c r="B94" s="20" t="s">
        <v>33</v>
      </c>
      <c r="C94" s="20" t="s">
        <v>23</v>
      </c>
      <c r="D94" s="20" t="s">
        <v>58</v>
      </c>
      <c r="E94" s="20" t="s">
        <v>262</v>
      </c>
      <c r="F94" s="14" t="s">
        <v>263</v>
      </c>
      <c r="G94" s="19">
        <f t="shared" si="2"/>
        <v>0.96301211282717336</v>
      </c>
      <c r="H94" s="20"/>
    </row>
    <row r="95" spans="1:8" ht="14" customHeight="1" x14ac:dyDescent="0.35">
      <c r="A95" s="20" t="s">
        <v>264</v>
      </c>
      <c r="B95" s="20" t="s">
        <v>33</v>
      </c>
      <c r="C95" s="20" t="s">
        <v>23</v>
      </c>
      <c r="D95" s="20" t="s">
        <v>58</v>
      </c>
      <c r="E95" s="20" t="s">
        <v>265</v>
      </c>
      <c r="F95" s="14" t="s">
        <v>266</v>
      </c>
      <c r="G95" s="19">
        <f t="shared" si="2"/>
        <v>1.0093494520786224</v>
      </c>
      <c r="H95" s="20"/>
    </row>
    <row r="96" spans="1:8" ht="14" customHeight="1" x14ac:dyDescent="0.35">
      <c r="A96" s="20" t="s">
        <v>267</v>
      </c>
      <c r="B96" s="20" t="s">
        <v>33</v>
      </c>
      <c r="C96" s="20" t="s">
        <v>23</v>
      </c>
      <c r="D96" s="20" t="s">
        <v>170</v>
      </c>
      <c r="E96" s="20" t="s">
        <v>268</v>
      </c>
      <c r="F96" s="14" t="s">
        <v>268</v>
      </c>
      <c r="G96" s="19">
        <f t="shared" si="2"/>
        <v>1</v>
      </c>
      <c r="H96" s="20"/>
    </row>
    <row r="97" spans="1:8" ht="14" customHeight="1" x14ac:dyDescent="0.35">
      <c r="A97" s="20" t="s">
        <v>269</v>
      </c>
      <c r="B97" s="20" t="s">
        <v>33</v>
      </c>
      <c r="C97" s="20" t="s">
        <v>23</v>
      </c>
      <c r="D97" s="20" t="s">
        <v>58</v>
      </c>
      <c r="E97" s="20" t="s">
        <v>270</v>
      </c>
      <c r="F97" s="14" t="s">
        <v>271</v>
      </c>
      <c r="G97" s="19">
        <f t="shared" si="2"/>
        <v>1.03125</v>
      </c>
      <c r="H97" s="20"/>
    </row>
    <row r="102" spans="1:8" ht="14" customHeight="1" x14ac:dyDescent="0.35">
      <c r="A102" s="36" t="s">
        <v>23</v>
      </c>
      <c r="B102" s="20"/>
      <c r="C102" s="20"/>
      <c r="D102" s="20"/>
      <c r="E102" s="20"/>
      <c r="F102" s="20"/>
      <c r="G102" s="20"/>
      <c r="H102" s="20"/>
    </row>
    <row r="103" spans="1:8" ht="14" customHeight="1" x14ac:dyDescent="0.35">
      <c r="A103" s="36" t="s">
        <v>24</v>
      </c>
      <c r="B103" s="36" t="s">
        <v>25</v>
      </c>
      <c r="C103" s="36" t="s">
        <v>26</v>
      </c>
      <c r="D103" s="36" t="s">
        <v>27</v>
      </c>
      <c r="E103" s="36" t="s">
        <v>28</v>
      </c>
      <c r="F103" s="36" t="s">
        <v>29</v>
      </c>
      <c r="G103" s="36" t="s">
        <v>30</v>
      </c>
      <c r="H103" s="36" t="s">
        <v>31</v>
      </c>
    </row>
    <row r="104" spans="1:8" ht="14" customHeight="1" x14ac:dyDescent="0.35">
      <c r="A104" s="20" t="s">
        <v>272</v>
      </c>
      <c r="B104" s="20" t="s">
        <v>33</v>
      </c>
      <c r="C104" s="20" t="s">
        <v>273</v>
      </c>
      <c r="D104" s="20" t="s">
        <v>274</v>
      </c>
      <c r="E104" s="20" t="s">
        <v>275</v>
      </c>
      <c r="F104" s="14" t="s">
        <v>276</v>
      </c>
      <c r="G104" s="19">
        <f t="shared" ref="G104:G133" si="3">E104/F104</f>
        <v>0.99457098536215249</v>
      </c>
      <c r="H104" s="20"/>
    </row>
    <row r="105" spans="1:8" ht="14" customHeight="1" x14ac:dyDescent="0.35">
      <c r="A105" s="20" t="s">
        <v>277</v>
      </c>
      <c r="B105" s="20" t="s">
        <v>33</v>
      </c>
      <c r="C105" s="20" t="s">
        <v>273</v>
      </c>
      <c r="D105" s="20" t="s">
        <v>274</v>
      </c>
      <c r="E105" s="20" t="s">
        <v>278</v>
      </c>
      <c r="F105" s="14" t="s">
        <v>279</v>
      </c>
      <c r="G105" s="19">
        <f t="shared" si="3"/>
        <v>1.0012924261873564</v>
      </c>
      <c r="H105" s="20"/>
    </row>
    <row r="106" spans="1:8" ht="14" customHeight="1" x14ac:dyDescent="0.35">
      <c r="A106" s="20" t="s">
        <v>280</v>
      </c>
      <c r="B106" s="20" t="s">
        <v>33</v>
      </c>
      <c r="C106" s="20" t="s">
        <v>273</v>
      </c>
      <c r="D106" s="20" t="s">
        <v>274</v>
      </c>
      <c r="E106" s="20" t="s">
        <v>281</v>
      </c>
      <c r="F106" s="14" t="s">
        <v>282</v>
      </c>
      <c r="G106" s="19">
        <f t="shared" si="3"/>
        <v>0.99949260657052497</v>
      </c>
      <c r="H106" s="20"/>
    </row>
    <row r="107" spans="1:8" ht="14" customHeight="1" x14ac:dyDescent="0.35">
      <c r="A107" s="20" t="s">
        <v>283</v>
      </c>
      <c r="B107" s="20" t="s">
        <v>33</v>
      </c>
      <c r="C107" s="20" t="s">
        <v>273</v>
      </c>
      <c r="D107" s="20" t="s">
        <v>284</v>
      </c>
      <c r="E107" s="20" t="s">
        <v>285</v>
      </c>
      <c r="F107" s="14" t="s">
        <v>286</v>
      </c>
      <c r="G107" s="19">
        <f t="shared" si="3"/>
        <v>0.99738425320428992</v>
      </c>
      <c r="H107" s="20"/>
    </row>
    <row r="108" spans="1:8" ht="14" customHeight="1" x14ac:dyDescent="0.35">
      <c r="A108" s="20" t="s">
        <v>287</v>
      </c>
      <c r="B108" s="20" t="s">
        <v>33</v>
      </c>
      <c r="C108" s="20" t="s">
        <v>273</v>
      </c>
      <c r="D108" s="20" t="s">
        <v>288</v>
      </c>
      <c r="E108" s="20" t="s">
        <v>289</v>
      </c>
      <c r="F108" s="14" t="s">
        <v>290</v>
      </c>
      <c r="G108" s="2">
        <f t="shared" si="3"/>
        <v>1.0612025988556189</v>
      </c>
      <c r="H108" s="20" t="s">
        <v>40</v>
      </c>
    </row>
    <row r="109" spans="1:8" ht="14" customHeight="1" x14ac:dyDescent="0.35">
      <c r="A109" s="20" t="s">
        <v>291</v>
      </c>
      <c r="B109" s="20" t="s">
        <v>33</v>
      </c>
      <c r="C109" s="20" t="s">
        <v>273</v>
      </c>
      <c r="D109" s="20" t="s">
        <v>292</v>
      </c>
      <c r="E109" s="20" t="s">
        <v>293</v>
      </c>
      <c r="F109" s="14" t="s">
        <v>294</v>
      </c>
      <c r="G109" s="2">
        <f t="shared" si="3"/>
        <v>0.45042791817392724</v>
      </c>
      <c r="H109" s="7" t="s">
        <v>295</v>
      </c>
    </row>
    <row r="110" spans="1:8" ht="14" customHeight="1" x14ac:dyDescent="0.35">
      <c r="A110" s="20" t="s">
        <v>296</v>
      </c>
      <c r="B110" s="20" t="s">
        <v>33</v>
      </c>
      <c r="C110" s="20" t="s">
        <v>273</v>
      </c>
      <c r="D110" s="20" t="s">
        <v>292</v>
      </c>
      <c r="E110" s="20" t="s">
        <v>297</v>
      </c>
      <c r="F110" s="14" t="s">
        <v>298</v>
      </c>
      <c r="G110" s="2">
        <f t="shared" si="3"/>
        <v>0.31123840898657956</v>
      </c>
      <c r="H110" s="7" t="s">
        <v>295</v>
      </c>
    </row>
    <row r="111" spans="1:8" ht="14" customHeight="1" x14ac:dyDescent="0.35">
      <c r="A111" s="20" t="s">
        <v>299</v>
      </c>
      <c r="B111" s="20" t="s">
        <v>300</v>
      </c>
      <c r="C111" s="20" t="s">
        <v>273</v>
      </c>
      <c r="D111" s="20" t="s">
        <v>301</v>
      </c>
      <c r="E111" s="20" t="s">
        <v>302</v>
      </c>
      <c r="F111" s="14" t="s">
        <v>302</v>
      </c>
      <c r="G111" s="19">
        <f t="shared" si="3"/>
        <v>1</v>
      </c>
      <c r="H111" s="20"/>
    </row>
    <row r="112" spans="1:8" ht="14" customHeight="1" x14ac:dyDescent="0.35">
      <c r="A112" s="20" t="s">
        <v>303</v>
      </c>
      <c r="B112" s="20" t="s">
        <v>300</v>
      </c>
      <c r="C112" s="20" t="s">
        <v>273</v>
      </c>
      <c r="D112" s="20" t="s">
        <v>301</v>
      </c>
      <c r="E112" s="20" t="s">
        <v>304</v>
      </c>
      <c r="F112" s="14" t="s">
        <v>304</v>
      </c>
      <c r="G112" s="19">
        <f t="shared" si="3"/>
        <v>1</v>
      </c>
      <c r="H112" s="20"/>
    </row>
    <row r="113" spans="1:8" ht="14" customHeight="1" x14ac:dyDescent="0.35">
      <c r="A113" s="20" t="s">
        <v>305</v>
      </c>
      <c r="B113" s="20" t="s">
        <v>33</v>
      </c>
      <c r="C113" s="20" t="s">
        <v>273</v>
      </c>
      <c r="D113" s="20" t="s">
        <v>306</v>
      </c>
      <c r="E113" s="20" t="s">
        <v>307</v>
      </c>
      <c r="F113" s="14" t="s">
        <v>308</v>
      </c>
      <c r="G113" s="19">
        <f t="shared" si="3"/>
        <v>1.024804261997692</v>
      </c>
      <c r="H113" s="20"/>
    </row>
    <row r="114" spans="1:8" ht="14" customHeight="1" x14ac:dyDescent="0.35">
      <c r="A114" s="20" t="s">
        <v>309</v>
      </c>
      <c r="B114" s="20" t="s">
        <v>33</v>
      </c>
      <c r="C114" s="20" t="s">
        <v>273</v>
      </c>
      <c r="D114" s="20" t="s">
        <v>306</v>
      </c>
      <c r="E114" s="20" t="s">
        <v>310</v>
      </c>
      <c r="F114" s="14" t="s">
        <v>311</v>
      </c>
      <c r="G114" s="19">
        <f t="shared" si="3"/>
        <v>1.0319847881360185</v>
      </c>
      <c r="H114" s="20"/>
    </row>
    <row r="115" spans="1:8" ht="14" customHeight="1" x14ac:dyDescent="0.35">
      <c r="A115" s="20" t="s">
        <v>312</v>
      </c>
      <c r="B115" s="20" t="s">
        <v>33</v>
      </c>
      <c r="C115" s="20" t="s">
        <v>273</v>
      </c>
      <c r="D115" s="20" t="s">
        <v>313</v>
      </c>
      <c r="E115" s="20" t="s">
        <v>314</v>
      </c>
      <c r="F115" s="14" t="s">
        <v>315</v>
      </c>
      <c r="G115" s="19">
        <f t="shared" si="3"/>
        <v>0.99904262395497045</v>
      </c>
      <c r="H115" s="20"/>
    </row>
    <row r="116" spans="1:8" ht="14" customHeight="1" x14ac:dyDescent="0.35">
      <c r="A116" s="20" t="s">
        <v>316</v>
      </c>
      <c r="B116" s="20" t="s">
        <v>33</v>
      </c>
      <c r="C116" s="20" t="s">
        <v>273</v>
      </c>
      <c r="D116" s="20" t="s">
        <v>313</v>
      </c>
      <c r="E116" s="20" t="s">
        <v>317</v>
      </c>
      <c r="F116" s="14" t="s">
        <v>318</v>
      </c>
      <c r="G116" s="19">
        <f t="shared" si="3"/>
        <v>1.0224114436172425</v>
      </c>
      <c r="H116" s="20"/>
    </row>
    <row r="117" spans="1:8" ht="14" customHeight="1" x14ac:dyDescent="0.35">
      <c r="A117" s="20" t="s">
        <v>319</v>
      </c>
      <c r="B117" s="20" t="s">
        <v>33</v>
      </c>
      <c r="C117" s="20" t="s">
        <v>273</v>
      </c>
      <c r="D117" s="20" t="s">
        <v>306</v>
      </c>
      <c r="E117" s="20" t="s">
        <v>320</v>
      </c>
      <c r="F117" s="14" t="s">
        <v>321</v>
      </c>
      <c r="G117" s="19">
        <f t="shared" si="3"/>
        <v>1.0148034178907799</v>
      </c>
      <c r="H117" s="20"/>
    </row>
    <row r="118" spans="1:8" ht="14" customHeight="1" x14ac:dyDescent="0.35">
      <c r="A118" s="20" t="s">
        <v>322</v>
      </c>
      <c r="B118" s="20" t="s">
        <v>33</v>
      </c>
      <c r="C118" s="20" t="s">
        <v>273</v>
      </c>
      <c r="D118" s="20" t="s">
        <v>313</v>
      </c>
      <c r="E118" s="20" t="s">
        <v>323</v>
      </c>
      <c r="F118" s="14" t="s">
        <v>324</v>
      </c>
      <c r="G118" s="19">
        <f t="shared" si="3"/>
        <v>1.046628793487643</v>
      </c>
      <c r="H118" s="20"/>
    </row>
    <row r="119" spans="1:8" ht="14" customHeight="1" x14ac:dyDescent="0.35">
      <c r="A119" s="20" t="s">
        <v>325</v>
      </c>
      <c r="B119" s="20" t="s">
        <v>33</v>
      </c>
      <c r="C119" s="20" t="s">
        <v>273</v>
      </c>
      <c r="D119" s="20" t="s">
        <v>313</v>
      </c>
      <c r="E119" s="20" t="s">
        <v>326</v>
      </c>
      <c r="F119" s="14" t="s">
        <v>327</v>
      </c>
      <c r="G119" s="19">
        <f t="shared" si="3"/>
        <v>1.0163730050270658</v>
      </c>
      <c r="H119" s="20"/>
    </row>
    <row r="120" spans="1:8" ht="14" customHeight="1" x14ac:dyDescent="0.35">
      <c r="A120" s="20" t="s">
        <v>328</v>
      </c>
      <c r="B120" s="20" t="s">
        <v>329</v>
      </c>
      <c r="C120" s="20" t="s">
        <v>273</v>
      </c>
      <c r="D120" s="20" t="s">
        <v>330</v>
      </c>
      <c r="E120" s="20" t="s">
        <v>331</v>
      </c>
      <c r="F120" s="14" t="s">
        <v>332</v>
      </c>
      <c r="G120" s="19">
        <f t="shared" si="3"/>
        <v>1.0287608254036138</v>
      </c>
      <c r="H120" s="20"/>
    </row>
    <row r="121" spans="1:8" ht="14" customHeight="1" x14ac:dyDescent="0.35">
      <c r="A121" s="20" t="s">
        <v>333</v>
      </c>
      <c r="B121" s="20" t="s">
        <v>329</v>
      </c>
      <c r="C121" s="20" t="s">
        <v>273</v>
      </c>
      <c r="D121" s="20" t="s">
        <v>330</v>
      </c>
      <c r="E121" s="20" t="s">
        <v>334</v>
      </c>
      <c r="F121" s="14" t="s">
        <v>335</v>
      </c>
      <c r="G121" s="19">
        <f t="shared" si="3"/>
        <v>0.96333822157045734</v>
      </c>
      <c r="H121" s="20"/>
    </row>
    <row r="122" spans="1:8" ht="14" customHeight="1" x14ac:dyDescent="0.35">
      <c r="A122" s="20" t="s">
        <v>336</v>
      </c>
      <c r="B122" s="20" t="s">
        <v>329</v>
      </c>
      <c r="C122" s="20" t="s">
        <v>273</v>
      </c>
      <c r="D122" s="20" t="s">
        <v>330</v>
      </c>
      <c r="E122" s="20" t="s">
        <v>337</v>
      </c>
      <c r="F122" s="14" t="s">
        <v>338</v>
      </c>
      <c r="G122" s="19">
        <f t="shared" si="3"/>
        <v>1.0176778390609531</v>
      </c>
      <c r="H122" s="20"/>
    </row>
    <row r="123" spans="1:8" ht="14" customHeight="1" x14ac:dyDescent="0.35">
      <c r="A123" s="20" t="s">
        <v>339</v>
      </c>
      <c r="B123" s="20" t="s">
        <v>329</v>
      </c>
      <c r="C123" s="20" t="s">
        <v>273</v>
      </c>
      <c r="D123" s="20" t="s">
        <v>330</v>
      </c>
      <c r="E123" s="20" t="s">
        <v>340</v>
      </c>
      <c r="F123" s="14" t="s">
        <v>341</v>
      </c>
      <c r="G123" s="19">
        <f t="shared" si="3"/>
        <v>0.95529823616534271</v>
      </c>
      <c r="H123" s="20"/>
    </row>
    <row r="124" spans="1:8" ht="14" customHeight="1" x14ac:dyDescent="0.35">
      <c r="A124" s="20" t="s">
        <v>342</v>
      </c>
      <c r="B124" s="20" t="s">
        <v>33</v>
      </c>
      <c r="C124" s="20" t="s">
        <v>273</v>
      </c>
      <c r="D124" s="20" t="s">
        <v>92</v>
      </c>
      <c r="E124" s="20" t="s">
        <v>343</v>
      </c>
      <c r="F124" s="14" t="s">
        <v>344</v>
      </c>
      <c r="G124" s="19">
        <f t="shared" si="3"/>
        <v>0.9909163715641881</v>
      </c>
      <c r="H124" s="20"/>
    </row>
    <row r="125" spans="1:8" ht="14" customHeight="1" x14ac:dyDescent="0.35">
      <c r="A125" s="20" t="s">
        <v>345</v>
      </c>
      <c r="B125" s="20" t="s">
        <v>33</v>
      </c>
      <c r="C125" s="20" t="s">
        <v>273</v>
      </c>
      <c r="D125" s="20" t="s">
        <v>92</v>
      </c>
      <c r="E125" s="20" t="s">
        <v>346</v>
      </c>
      <c r="F125" s="14" t="s">
        <v>347</v>
      </c>
      <c r="G125" s="2">
        <f t="shared" si="3"/>
        <v>1.0647363124205032</v>
      </c>
      <c r="H125" s="20" t="s">
        <v>40</v>
      </c>
    </row>
    <row r="126" spans="1:8" ht="14" customHeight="1" x14ac:dyDescent="0.35">
      <c r="A126" s="20" t="s">
        <v>348</v>
      </c>
      <c r="B126" s="20" t="s">
        <v>33</v>
      </c>
      <c r="C126" s="20" t="s">
        <v>273</v>
      </c>
      <c r="D126" s="20" t="s">
        <v>92</v>
      </c>
      <c r="E126" s="20" t="s">
        <v>349</v>
      </c>
      <c r="F126" s="14" t="s">
        <v>350</v>
      </c>
      <c r="G126" s="19">
        <f t="shared" si="3"/>
        <v>0.99161887957653283</v>
      </c>
      <c r="H126" s="20"/>
    </row>
    <row r="127" spans="1:8" ht="14" customHeight="1" x14ac:dyDescent="0.35">
      <c r="A127" s="20" t="s">
        <v>351</v>
      </c>
      <c r="B127" s="20" t="s">
        <v>33</v>
      </c>
      <c r="C127" s="20" t="s">
        <v>273</v>
      </c>
      <c r="D127" s="20" t="s">
        <v>92</v>
      </c>
      <c r="E127" s="20" t="s">
        <v>352</v>
      </c>
      <c r="F127" s="14" t="s">
        <v>353</v>
      </c>
      <c r="G127" s="2">
        <f t="shared" si="3"/>
        <v>1.1028647056298848</v>
      </c>
      <c r="H127" s="20" t="s">
        <v>40</v>
      </c>
    </row>
    <row r="128" spans="1:8" ht="14" customHeight="1" x14ac:dyDescent="0.35">
      <c r="A128" s="20" t="s">
        <v>354</v>
      </c>
      <c r="B128" s="20" t="s">
        <v>33</v>
      </c>
      <c r="C128" s="20" t="s">
        <v>273</v>
      </c>
      <c r="D128" s="20" t="s">
        <v>92</v>
      </c>
      <c r="E128" s="20" t="s">
        <v>355</v>
      </c>
      <c r="F128" s="14" t="s">
        <v>356</v>
      </c>
      <c r="G128" s="19">
        <f t="shared" si="3"/>
        <v>0.96388946836554168</v>
      </c>
      <c r="H128" s="20"/>
    </row>
    <row r="129" spans="1:8" ht="14" customHeight="1" x14ac:dyDescent="0.35">
      <c r="A129" s="20" t="s">
        <v>357</v>
      </c>
      <c r="B129" s="20" t="s">
        <v>33</v>
      </c>
      <c r="C129" s="20" t="s">
        <v>273</v>
      </c>
      <c r="D129" s="20" t="s">
        <v>92</v>
      </c>
      <c r="E129" s="20" t="s">
        <v>358</v>
      </c>
      <c r="F129" s="14" t="s">
        <v>359</v>
      </c>
      <c r="G129" s="19">
        <f t="shared" si="3"/>
        <v>0.99082238107473475</v>
      </c>
      <c r="H129" s="20"/>
    </row>
    <row r="130" spans="1:8" ht="14" customHeight="1" x14ac:dyDescent="0.35">
      <c r="A130" s="20" t="s">
        <v>360</v>
      </c>
      <c r="B130" s="20" t="s">
        <v>33</v>
      </c>
      <c r="C130" s="20" t="s">
        <v>273</v>
      </c>
      <c r="D130" s="20" t="s">
        <v>92</v>
      </c>
      <c r="E130" s="20" t="s">
        <v>361</v>
      </c>
      <c r="F130" s="14" t="s">
        <v>362</v>
      </c>
      <c r="G130" s="19">
        <f t="shared" si="3"/>
        <v>0.99138654118906178</v>
      </c>
      <c r="H130" s="20"/>
    </row>
    <row r="131" spans="1:8" ht="14" customHeight="1" x14ac:dyDescent="0.35">
      <c r="A131" s="20" t="s">
        <v>363</v>
      </c>
      <c r="B131" s="20" t="s">
        <v>33</v>
      </c>
      <c r="C131" s="20" t="s">
        <v>273</v>
      </c>
      <c r="D131" s="20" t="s">
        <v>92</v>
      </c>
      <c r="E131" s="20" t="s">
        <v>364</v>
      </c>
      <c r="F131" s="14" t="s">
        <v>365</v>
      </c>
      <c r="G131" s="19">
        <f t="shared" si="3"/>
        <v>1.0071856298421864</v>
      </c>
      <c r="H131" s="20"/>
    </row>
    <row r="132" spans="1:8" ht="14" customHeight="1" x14ac:dyDescent="0.35">
      <c r="A132" s="20" t="s">
        <v>366</v>
      </c>
      <c r="B132" s="20" t="s">
        <v>33</v>
      </c>
      <c r="C132" s="20" t="s">
        <v>273</v>
      </c>
      <c r="D132" s="20" t="s">
        <v>92</v>
      </c>
      <c r="E132" s="20" t="s">
        <v>367</v>
      </c>
      <c r="F132" s="14" t="s">
        <v>368</v>
      </c>
      <c r="G132" s="19">
        <f t="shared" si="3"/>
        <v>0.99119079204057736</v>
      </c>
      <c r="H132" s="20"/>
    </row>
    <row r="133" spans="1:8" ht="14" customHeight="1" x14ac:dyDescent="0.35">
      <c r="A133" s="20" t="s">
        <v>369</v>
      </c>
      <c r="B133" s="20" t="s">
        <v>370</v>
      </c>
      <c r="C133" s="20" t="s">
        <v>273</v>
      </c>
      <c r="D133" s="20" t="s">
        <v>371</v>
      </c>
      <c r="E133" s="20" t="s">
        <v>372</v>
      </c>
      <c r="F133" s="14" t="s">
        <v>372</v>
      </c>
      <c r="G133" s="19">
        <f t="shared" si="3"/>
        <v>1</v>
      </c>
      <c r="H133" s="20"/>
    </row>
    <row r="136" spans="1:8" ht="14" customHeight="1" x14ac:dyDescent="0.35">
      <c r="A136" s="36" t="s">
        <v>373</v>
      </c>
      <c r="B136" s="20"/>
      <c r="C136" s="20"/>
    </row>
    <row r="137" spans="1:8" ht="14" customHeight="1" x14ac:dyDescent="0.35">
      <c r="A137" s="36" t="s">
        <v>24</v>
      </c>
      <c r="B137" s="36" t="s">
        <v>25</v>
      </c>
      <c r="C137" s="36" t="s">
        <v>28</v>
      </c>
    </row>
    <row r="138" spans="1:8" ht="14" customHeight="1" x14ac:dyDescent="0.35">
      <c r="A138" s="20" t="s">
        <v>374</v>
      </c>
      <c r="B138" s="20" t="s">
        <v>33</v>
      </c>
      <c r="C138" s="14" t="s">
        <v>375</v>
      </c>
    </row>
    <row r="139" spans="1:8" ht="14" customHeight="1" x14ac:dyDescent="0.35">
      <c r="A139" s="20" t="s">
        <v>376</v>
      </c>
      <c r="B139" s="20" t="s">
        <v>33</v>
      </c>
      <c r="C139" s="14" t="s">
        <v>375</v>
      </c>
    </row>
    <row r="140" spans="1:8" ht="14" customHeight="1" x14ac:dyDescent="0.35">
      <c r="A140" s="20" t="s">
        <v>377</v>
      </c>
      <c r="B140" s="20" t="s">
        <v>33</v>
      </c>
      <c r="C140" s="14" t="s">
        <v>375</v>
      </c>
    </row>
    <row r="141" spans="1:8" ht="14" customHeight="1" x14ac:dyDescent="0.35">
      <c r="A141" s="20" t="s">
        <v>378</v>
      </c>
      <c r="B141" s="20" t="s">
        <v>33</v>
      </c>
      <c r="C141" s="14" t="s">
        <v>375</v>
      </c>
    </row>
    <row r="142" spans="1:8" ht="14" customHeight="1" x14ac:dyDescent="0.35">
      <c r="A142" s="20" t="s">
        <v>379</v>
      </c>
      <c r="B142" s="20" t="s">
        <v>33</v>
      </c>
      <c r="C142" s="14" t="s">
        <v>375</v>
      </c>
    </row>
    <row r="143" spans="1:8" ht="14" customHeight="1" x14ac:dyDescent="0.35">
      <c r="A143" s="20" t="s">
        <v>380</v>
      </c>
      <c r="B143" s="20" t="s">
        <v>33</v>
      </c>
      <c r="C143" s="14" t="s">
        <v>375</v>
      </c>
    </row>
    <row r="144" spans="1:8" ht="14" customHeight="1" x14ac:dyDescent="0.35">
      <c r="A144" s="20" t="s">
        <v>381</v>
      </c>
      <c r="B144" s="20" t="s">
        <v>33</v>
      </c>
      <c r="C144" s="14" t="s">
        <v>375</v>
      </c>
    </row>
    <row r="145" spans="1:3" ht="14" customHeight="1" x14ac:dyDescent="0.35">
      <c r="A145" s="20" t="s">
        <v>382</v>
      </c>
      <c r="B145" s="20" t="s">
        <v>33</v>
      </c>
      <c r="C145" s="14" t="s">
        <v>375</v>
      </c>
    </row>
    <row r="146" spans="1:3" ht="14" customHeight="1" x14ac:dyDescent="0.35">
      <c r="A146" s="20" t="s">
        <v>383</v>
      </c>
      <c r="B146" s="20" t="s">
        <v>33</v>
      </c>
      <c r="C146" s="14" t="s">
        <v>375</v>
      </c>
    </row>
    <row r="147" spans="1:3" ht="14" customHeight="1" x14ac:dyDescent="0.35">
      <c r="A147" s="20" t="s">
        <v>384</v>
      </c>
      <c r="B147" s="20" t="s">
        <v>33</v>
      </c>
      <c r="C147" s="14" t="s">
        <v>375</v>
      </c>
    </row>
    <row r="148" spans="1:3" ht="14" customHeight="1" x14ac:dyDescent="0.35">
      <c r="A148" s="20" t="s">
        <v>385</v>
      </c>
      <c r="B148" s="20" t="s">
        <v>33</v>
      </c>
      <c r="C148" s="14" t="s">
        <v>375</v>
      </c>
    </row>
    <row r="149" spans="1:3" ht="14" customHeight="1" x14ac:dyDescent="0.35">
      <c r="A149" s="20" t="s">
        <v>386</v>
      </c>
      <c r="B149" s="20" t="s">
        <v>33</v>
      </c>
      <c r="C149" s="14" t="s">
        <v>375</v>
      </c>
    </row>
    <row r="150" spans="1:3" ht="14" customHeight="1" x14ac:dyDescent="0.35">
      <c r="A150" s="20" t="s">
        <v>387</v>
      </c>
      <c r="B150" s="20" t="s">
        <v>33</v>
      </c>
      <c r="C150" s="14" t="s">
        <v>375</v>
      </c>
    </row>
    <row r="151" spans="1:3" ht="14" customHeight="1" x14ac:dyDescent="0.35">
      <c r="A151" s="20" t="s">
        <v>388</v>
      </c>
      <c r="B151" s="20" t="s">
        <v>33</v>
      </c>
      <c r="C151" s="14" t="s">
        <v>375</v>
      </c>
    </row>
    <row r="152" spans="1:3" ht="14" customHeight="1" x14ac:dyDescent="0.35">
      <c r="A152" s="20" t="s">
        <v>389</v>
      </c>
      <c r="B152" s="20" t="s">
        <v>33</v>
      </c>
      <c r="C152" s="14" t="s">
        <v>375</v>
      </c>
    </row>
    <row r="153" spans="1:3" ht="14" customHeight="1" x14ac:dyDescent="0.35">
      <c r="A153" s="20" t="s">
        <v>390</v>
      </c>
      <c r="B153" s="20" t="s">
        <v>33</v>
      </c>
      <c r="C153" s="14" t="s">
        <v>375</v>
      </c>
    </row>
    <row r="154" spans="1:3" ht="14" customHeight="1" x14ac:dyDescent="0.35">
      <c r="A154" s="20" t="s">
        <v>391</v>
      </c>
      <c r="B154" s="20" t="s">
        <v>33</v>
      </c>
      <c r="C154" s="14" t="s">
        <v>375</v>
      </c>
    </row>
    <row r="155" spans="1:3" ht="14" customHeight="1" x14ac:dyDescent="0.35">
      <c r="A155" s="20" t="s">
        <v>392</v>
      </c>
      <c r="B155" s="20" t="s">
        <v>33</v>
      </c>
      <c r="C155" s="14" t="s">
        <v>375</v>
      </c>
    </row>
    <row r="156" spans="1:3" ht="14" customHeight="1" x14ac:dyDescent="0.35">
      <c r="A156" s="20" t="s">
        <v>393</v>
      </c>
      <c r="B156" s="20" t="s">
        <v>33</v>
      </c>
      <c r="C156" s="14" t="s">
        <v>375</v>
      </c>
    </row>
    <row r="157" spans="1:3" ht="14" customHeight="1" x14ac:dyDescent="0.35">
      <c r="A157" s="20" t="s">
        <v>394</v>
      </c>
      <c r="B157" s="20" t="s">
        <v>33</v>
      </c>
      <c r="C157" s="14" t="s">
        <v>375</v>
      </c>
    </row>
    <row r="158" spans="1:3" ht="14" customHeight="1" x14ac:dyDescent="0.35">
      <c r="A158" s="20" t="s">
        <v>395</v>
      </c>
      <c r="B158" s="20" t="s">
        <v>33</v>
      </c>
      <c r="C158" s="14" t="s">
        <v>375</v>
      </c>
    </row>
    <row r="159" spans="1:3" ht="14" customHeight="1" x14ac:dyDescent="0.35">
      <c r="A159" s="20" t="s">
        <v>396</v>
      </c>
      <c r="B159" s="20" t="s">
        <v>33</v>
      </c>
      <c r="C159" s="14" t="s">
        <v>375</v>
      </c>
    </row>
    <row r="160" spans="1:3" ht="14" customHeight="1" x14ac:dyDescent="0.35">
      <c r="A160" s="20" t="s">
        <v>397</v>
      </c>
      <c r="B160" s="20" t="s">
        <v>33</v>
      </c>
      <c r="C160" s="14" t="s">
        <v>375</v>
      </c>
    </row>
    <row r="161" spans="1:3" ht="14" customHeight="1" x14ac:dyDescent="0.35">
      <c r="A161" s="20" t="s">
        <v>398</v>
      </c>
      <c r="B161" s="20" t="s">
        <v>33</v>
      </c>
      <c r="C161" s="14" t="s">
        <v>375</v>
      </c>
    </row>
    <row r="162" spans="1:3" ht="14" customHeight="1" x14ac:dyDescent="0.35">
      <c r="A162" s="20" t="s">
        <v>399</v>
      </c>
      <c r="B162" s="20" t="s">
        <v>33</v>
      </c>
      <c r="C162" s="14" t="s">
        <v>375</v>
      </c>
    </row>
    <row r="163" spans="1:3" ht="14" customHeight="1" x14ac:dyDescent="0.35">
      <c r="A163" s="20" t="s">
        <v>400</v>
      </c>
      <c r="B163" s="20" t="s">
        <v>33</v>
      </c>
      <c r="C163" s="14" t="s">
        <v>375</v>
      </c>
    </row>
    <row r="164" spans="1:3" ht="14" customHeight="1" x14ac:dyDescent="0.35">
      <c r="A164" s="20" t="s">
        <v>401</v>
      </c>
      <c r="B164" s="20" t="s">
        <v>33</v>
      </c>
      <c r="C164" s="14" t="s">
        <v>375</v>
      </c>
    </row>
    <row r="165" spans="1:3" ht="14" customHeight="1" x14ac:dyDescent="0.35">
      <c r="A165" s="20" t="s">
        <v>402</v>
      </c>
      <c r="B165" s="20" t="s">
        <v>33</v>
      </c>
      <c r="C165" s="14" t="s">
        <v>375</v>
      </c>
    </row>
    <row r="166" spans="1:3" ht="14" customHeight="1" x14ac:dyDescent="0.35">
      <c r="A166" s="20" t="s">
        <v>403</v>
      </c>
      <c r="B166" s="20" t="s">
        <v>33</v>
      </c>
      <c r="C166" s="14" t="s">
        <v>375</v>
      </c>
    </row>
    <row r="167" spans="1:3" ht="14" customHeight="1" x14ac:dyDescent="0.35">
      <c r="A167" s="20" t="s">
        <v>404</v>
      </c>
      <c r="B167" s="20" t="s">
        <v>33</v>
      </c>
      <c r="C167" s="14" t="s">
        <v>375</v>
      </c>
    </row>
    <row r="168" spans="1:3" ht="14" customHeight="1" x14ac:dyDescent="0.35">
      <c r="A168" s="20" t="s">
        <v>405</v>
      </c>
      <c r="B168" s="20" t="s">
        <v>33</v>
      </c>
      <c r="C168" s="14" t="s">
        <v>375</v>
      </c>
    </row>
    <row r="169" spans="1:3" ht="14" customHeight="1" x14ac:dyDescent="0.35">
      <c r="A169" s="20" t="s">
        <v>406</v>
      </c>
      <c r="B169" s="20" t="s">
        <v>33</v>
      </c>
      <c r="C169" s="14" t="s">
        <v>375</v>
      </c>
    </row>
    <row r="170" spans="1:3" ht="14" customHeight="1" x14ac:dyDescent="0.35">
      <c r="A170" s="20" t="s">
        <v>407</v>
      </c>
      <c r="B170" s="20" t="s">
        <v>33</v>
      </c>
      <c r="C170" s="14" t="s">
        <v>375</v>
      </c>
    </row>
    <row r="171" spans="1:3" ht="14" customHeight="1" x14ac:dyDescent="0.35">
      <c r="A171" s="20" t="s">
        <v>408</v>
      </c>
      <c r="B171" s="20" t="s">
        <v>33</v>
      </c>
      <c r="C171" s="14" t="s">
        <v>375</v>
      </c>
    </row>
    <row r="172" spans="1:3" ht="14" customHeight="1" x14ac:dyDescent="0.35">
      <c r="A172" s="20" t="s">
        <v>409</v>
      </c>
      <c r="B172" s="20" t="s">
        <v>33</v>
      </c>
      <c r="C172" s="14" t="s">
        <v>375</v>
      </c>
    </row>
    <row r="173" spans="1:3" ht="14" customHeight="1" x14ac:dyDescent="0.35">
      <c r="A173" s="20" t="s">
        <v>410</v>
      </c>
      <c r="B173" s="20" t="s">
        <v>33</v>
      </c>
      <c r="C173" s="14" t="s">
        <v>375</v>
      </c>
    </row>
    <row r="174" spans="1:3" ht="14" customHeight="1" x14ac:dyDescent="0.35">
      <c r="A174" s="20" t="s">
        <v>411</v>
      </c>
      <c r="B174" s="20" t="s">
        <v>33</v>
      </c>
      <c r="C174" s="14" t="s">
        <v>375</v>
      </c>
    </row>
    <row r="175" spans="1:3" ht="14" customHeight="1" x14ac:dyDescent="0.35">
      <c r="A175" s="20" t="s">
        <v>412</v>
      </c>
      <c r="B175" s="20" t="s">
        <v>33</v>
      </c>
      <c r="C175" s="14" t="s">
        <v>375</v>
      </c>
    </row>
    <row r="176" spans="1:3" ht="14" customHeight="1" x14ac:dyDescent="0.35">
      <c r="A176" s="20" t="s">
        <v>413</v>
      </c>
      <c r="B176" s="20" t="s">
        <v>33</v>
      </c>
      <c r="C176" s="14" t="s">
        <v>375</v>
      </c>
    </row>
  </sheetData>
  <phoneticPr fontId="1" type="noConversion"/>
  <conditionalFormatting sqref="A176">
    <cfRule type="duplicateValues" dxfId="10" priority="1"/>
  </conditionalFormatting>
  <conditionalFormatting sqref="A87:A89">
    <cfRule type="duplicateValues" dxfId="9" priority="9"/>
  </conditionalFormatting>
  <conditionalFormatting sqref="A136:A175">
    <cfRule type="duplicateValues" dxfId="8" priority="71"/>
  </conditionalFormatting>
  <conditionalFormatting sqref="A21:A86">
    <cfRule type="duplicateValues" dxfId="7" priority="19"/>
  </conditionalFormatting>
  <conditionalFormatting sqref="A104:A133">
    <cfRule type="duplicateValues" dxfId="6" priority="8"/>
  </conditionalFormatting>
  <conditionalFormatting sqref="A87:A89">
    <cfRule type="duplicateValues" dxfId="5" priority="10"/>
  </conditionalFormatting>
  <conditionalFormatting sqref="A138:A175">
    <cfRule type="duplicateValues" dxfId="4" priority="7"/>
  </conditionalFormatting>
  <conditionalFormatting sqref="A96:A97">
    <cfRule type="duplicateValues" dxfId="3" priority="12"/>
  </conditionalFormatting>
  <conditionalFormatting sqref="A87:A89">
    <cfRule type="duplicateValues" dxfId="2" priority="1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BB81-DA68-4C87-B73C-3FFA409CA14B}">
  <sheetPr>
    <outlinePr summaryBelow="0" summaryRight="0"/>
  </sheetPr>
  <dimension ref="A1:AN310"/>
  <sheetViews>
    <sheetView workbookViewId="0"/>
  </sheetViews>
  <sheetFormatPr defaultColWidth="8.84375" defaultRowHeight="14" customHeight="1" x14ac:dyDescent="0.35"/>
  <cols>
    <col min="1" max="1" width="59.84375" style="30" customWidth="1"/>
    <col min="2" max="2" width="28.15234375" style="30" customWidth="1"/>
    <col min="3" max="3" width="14.84375" style="30" customWidth="1"/>
    <col min="4" max="7" width="8.69140625" style="30" customWidth="1"/>
    <col min="8" max="8" width="36.15234375" style="30" customWidth="1"/>
    <col min="9" max="17" width="8.69140625" style="30" customWidth="1"/>
    <col min="18" max="40" width="8.69140625" style="30"/>
  </cols>
  <sheetData>
    <row r="1" spans="1:2" s="15" customFormat="1" ht="14" customHeight="1" x14ac:dyDescent="0.3">
      <c r="A1" s="36" t="s">
        <v>0</v>
      </c>
      <c r="B1" s="16"/>
    </row>
    <row r="2" spans="1:2" s="15" customFormat="1" ht="14" customHeight="1" x14ac:dyDescent="0.3">
      <c r="A2" s="23" t="s">
        <v>1</v>
      </c>
      <c r="B2" s="24" t="s">
        <v>2</v>
      </c>
    </row>
    <row r="3" spans="1:2" s="15" customFormat="1" ht="14" customHeight="1" x14ac:dyDescent="0.3">
      <c r="A3" s="23" t="s">
        <v>3</v>
      </c>
      <c r="B3" s="24" t="s">
        <v>4</v>
      </c>
    </row>
    <row r="4" spans="1:2" s="15" customFormat="1" ht="14" customHeight="1" x14ac:dyDescent="0.3">
      <c r="A4" s="23" t="s">
        <v>5</v>
      </c>
      <c r="B4" s="24" t="s">
        <v>6</v>
      </c>
    </row>
    <row r="5" spans="1:2" s="15" customFormat="1" ht="14" customHeight="1" x14ac:dyDescent="0.3">
      <c r="A5" s="23" t="s">
        <v>7</v>
      </c>
      <c r="B5" s="24" t="s">
        <v>8</v>
      </c>
    </row>
    <row r="6" spans="1:2" s="15" customFormat="1" ht="14" customHeight="1" x14ac:dyDescent="0.3">
      <c r="A6" s="23" t="s">
        <v>9</v>
      </c>
      <c r="B6" s="24" t="s">
        <v>10</v>
      </c>
    </row>
    <row r="7" spans="1:2" s="15" customFormat="1" ht="14" customHeight="1" x14ac:dyDescent="0.3">
      <c r="A7" s="23" t="s">
        <v>11</v>
      </c>
      <c r="B7" s="24" t="s">
        <v>12</v>
      </c>
    </row>
    <row r="8" spans="1:2" s="15" customFormat="1" ht="14" customHeight="1" x14ac:dyDescent="0.3">
      <c r="A8" s="25" t="s">
        <v>13</v>
      </c>
      <c r="B8" s="29" t="s">
        <v>414</v>
      </c>
    </row>
    <row r="9" spans="1:2" s="15" customFormat="1" ht="14.25" customHeight="1" x14ac:dyDescent="0.3">
      <c r="A9" s="23" t="s">
        <v>15</v>
      </c>
      <c r="B9" s="24" t="s">
        <v>16</v>
      </c>
    </row>
    <row r="10" spans="1:2" s="15" customFormat="1" ht="14.25" customHeight="1" x14ac:dyDescent="0.3">
      <c r="A10" s="23" t="s">
        <v>17</v>
      </c>
      <c r="B10" s="24" t="s">
        <v>18</v>
      </c>
    </row>
    <row r="11" spans="1:2" s="15" customFormat="1" ht="14.25" customHeight="1" x14ac:dyDescent="0.3">
      <c r="A11" s="23" t="s">
        <v>19</v>
      </c>
      <c r="B11" s="24" t="s">
        <v>20</v>
      </c>
    </row>
    <row r="12" spans="1:2" s="15" customFormat="1" ht="14.25" customHeight="1" x14ac:dyDescent="0.3">
      <c r="A12" s="23" t="s">
        <v>21</v>
      </c>
      <c r="B12" s="24" t="s">
        <v>22</v>
      </c>
    </row>
    <row r="13" spans="1:2" s="15" customFormat="1" ht="14" customHeight="1" x14ac:dyDescent="0.3"/>
    <row r="14" spans="1:2" s="15" customFormat="1" ht="14" customHeight="1" x14ac:dyDescent="0.3"/>
    <row r="15" spans="1:2" s="15" customFormat="1" ht="14" customHeight="1" x14ac:dyDescent="0.3"/>
    <row r="16" spans="1:2" s="15" customFormat="1" ht="14" customHeight="1" x14ac:dyDescent="0.3"/>
    <row r="17" spans="1:8" ht="14" customHeight="1" x14ac:dyDescent="0.35">
      <c r="A17" s="36" t="s">
        <v>23</v>
      </c>
      <c r="B17" s="20"/>
      <c r="C17" s="20"/>
      <c r="D17" s="20"/>
      <c r="E17" s="20"/>
      <c r="F17" s="20"/>
      <c r="G17" s="20"/>
      <c r="H17" s="20"/>
    </row>
    <row r="18" spans="1:8" ht="14" customHeight="1" x14ac:dyDescent="0.35">
      <c r="A18" s="36" t="s">
        <v>24</v>
      </c>
      <c r="B18" s="36" t="s">
        <v>25</v>
      </c>
      <c r="C18" s="36" t="s">
        <v>26</v>
      </c>
      <c r="D18" s="36" t="s">
        <v>27</v>
      </c>
      <c r="E18" s="36" t="s">
        <v>28</v>
      </c>
      <c r="F18" s="36" t="s">
        <v>29</v>
      </c>
      <c r="G18" s="36" t="s">
        <v>30</v>
      </c>
      <c r="H18" s="36" t="s">
        <v>31</v>
      </c>
    </row>
    <row r="19" spans="1:8" ht="14" customHeight="1" x14ac:dyDescent="0.35">
      <c r="A19" s="20" t="s">
        <v>415</v>
      </c>
      <c r="B19" s="20" t="s">
        <v>33</v>
      </c>
      <c r="C19" s="20" t="s">
        <v>23</v>
      </c>
      <c r="D19" s="20" t="s">
        <v>58</v>
      </c>
      <c r="E19" s="20" t="s">
        <v>416</v>
      </c>
      <c r="F19" s="20" t="s">
        <v>417</v>
      </c>
      <c r="G19" s="19">
        <f t="shared" ref="G19:G50" si="0">E19/F19</f>
        <v>1.0152307003135732</v>
      </c>
      <c r="H19" s="20"/>
    </row>
    <row r="20" spans="1:8" ht="14" customHeight="1" x14ac:dyDescent="0.35">
      <c r="A20" s="20" t="s">
        <v>418</v>
      </c>
      <c r="B20" s="20" t="s">
        <v>33</v>
      </c>
      <c r="C20" s="20" t="s">
        <v>23</v>
      </c>
      <c r="D20" s="20" t="s">
        <v>58</v>
      </c>
      <c r="E20" s="20" t="s">
        <v>419</v>
      </c>
      <c r="F20" s="20" t="s">
        <v>420</v>
      </c>
      <c r="G20" s="19">
        <f t="shared" si="0"/>
        <v>1.0212272627149099</v>
      </c>
      <c r="H20" s="20"/>
    </row>
    <row r="21" spans="1:8" ht="14" customHeight="1" x14ac:dyDescent="0.35">
      <c r="A21" s="20" t="s">
        <v>421</v>
      </c>
      <c r="B21" s="20" t="s">
        <v>33</v>
      </c>
      <c r="C21" s="20" t="s">
        <v>23</v>
      </c>
      <c r="D21" s="20" t="s">
        <v>58</v>
      </c>
      <c r="E21" s="20" t="s">
        <v>422</v>
      </c>
      <c r="F21" s="20" t="s">
        <v>423</v>
      </c>
      <c r="G21" s="19">
        <f t="shared" si="0"/>
        <v>1.0029301453352084</v>
      </c>
      <c r="H21" s="20"/>
    </row>
    <row r="22" spans="1:8" ht="14" customHeight="1" x14ac:dyDescent="0.35">
      <c r="A22" s="20" t="s">
        <v>424</v>
      </c>
      <c r="B22" s="20" t="s">
        <v>33</v>
      </c>
      <c r="C22" s="20" t="s">
        <v>23</v>
      </c>
      <c r="D22" s="20" t="s">
        <v>58</v>
      </c>
      <c r="E22" s="20" t="s">
        <v>425</v>
      </c>
      <c r="F22" s="20" t="s">
        <v>426</v>
      </c>
      <c r="G22" s="19">
        <f t="shared" si="0"/>
        <v>1.0307352043929225</v>
      </c>
      <c r="H22" s="20"/>
    </row>
    <row r="23" spans="1:8" ht="14" customHeight="1" x14ac:dyDescent="0.35">
      <c r="A23" s="20" t="s">
        <v>427</v>
      </c>
      <c r="B23" s="20" t="s">
        <v>33</v>
      </c>
      <c r="C23" s="20" t="s">
        <v>23</v>
      </c>
      <c r="D23" s="20" t="s">
        <v>58</v>
      </c>
      <c r="E23" s="20" t="s">
        <v>428</v>
      </c>
      <c r="F23" s="20" t="s">
        <v>429</v>
      </c>
      <c r="G23" s="19">
        <f t="shared" si="0"/>
        <v>1.0300602879494398</v>
      </c>
      <c r="H23" s="20"/>
    </row>
    <row r="24" spans="1:8" ht="14" customHeight="1" x14ac:dyDescent="0.35">
      <c r="A24" s="20" t="s">
        <v>430</v>
      </c>
      <c r="B24" s="20" t="s">
        <v>33</v>
      </c>
      <c r="C24" s="20" t="s">
        <v>23</v>
      </c>
      <c r="D24" s="20" t="s">
        <v>58</v>
      </c>
      <c r="E24" s="20" t="s">
        <v>431</v>
      </c>
      <c r="F24" s="20" t="s">
        <v>432</v>
      </c>
      <c r="G24" s="19">
        <f t="shared" si="0"/>
        <v>1.0238565946206371</v>
      </c>
      <c r="H24" s="20"/>
    </row>
    <row r="25" spans="1:8" ht="14" customHeight="1" x14ac:dyDescent="0.35">
      <c r="A25" s="20" t="s">
        <v>433</v>
      </c>
      <c r="B25" s="20" t="s">
        <v>33</v>
      </c>
      <c r="C25" s="20" t="s">
        <v>23</v>
      </c>
      <c r="D25" s="20" t="s">
        <v>58</v>
      </c>
      <c r="E25" s="20" t="s">
        <v>434</v>
      </c>
      <c r="F25" s="20" t="s">
        <v>435</v>
      </c>
      <c r="G25" s="19">
        <f t="shared" si="0"/>
        <v>1.0299990872738845</v>
      </c>
      <c r="H25" s="20"/>
    </row>
    <row r="26" spans="1:8" ht="14" customHeight="1" x14ac:dyDescent="0.35">
      <c r="A26" s="20" t="s">
        <v>436</v>
      </c>
      <c r="B26" s="20" t="s">
        <v>33</v>
      </c>
      <c r="C26" s="20" t="s">
        <v>23</v>
      </c>
      <c r="D26" s="20" t="s">
        <v>58</v>
      </c>
      <c r="E26" s="20" t="s">
        <v>437</v>
      </c>
      <c r="F26" s="20" t="s">
        <v>438</v>
      </c>
      <c r="G26" s="19">
        <f t="shared" si="0"/>
        <v>1.0097647058823529</v>
      </c>
      <c r="H26" s="20"/>
    </row>
    <row r="27" spans="1:8" ht="14" customHeight="1" x14ac:dyDescent="0.35">
      <c r="A27" s="20" t="s">
        <v>439</v>
      </c>
      <c r="B27" s="20" t="s">
        <v>33</v>
      </c>
      <c r="C27" s="20" t="s">
        <v>23</v>
      </c>
      <c r="D27" s="20" t="s">
        <v>58</v>
      </c>
      <c r="E27" s="20" t="s">
        <v>440</v>
      </c>
      <c r="F27" s="20" t="s">
        <v>441</v>
      </c>
      <c r="G27" s="19">
        <f t="shared" si="0"/>
        <v>1.0111273335506825</v>
      </c>
      <c r="H27" s="20"/>
    </row>
    <row r="28" spans="1:8" ht="14" customHeight="1" x14ac:dyDescent="0.35">
      <c r="A28" s="20" t="s">
        <v>442</v>
      </c>
      <c r="B28" s="20" t="s">
        <v>33</v>
      </c>
      <c r="C28" s="20" t="s">
        <v>23</v>
      </c>
      <c r="D28" s="20" t="s">
        <v>58</v>
      </c>
      <c r="E28" s="20" t="s">
        <v>443</v>
      </c>
      <c r="F28" s="20" t="s">
        <v>444</v>
      </c>
      <c r="G28" s="19">
        <f t="shared" si="0"/>
        <v>1.0062470487639905</v>
      </c>
      <c r="H28" s="20"/>
    </row>
    <row r="29" spans="1:8" ht="14" customHeight="1" x14ac:dyDescent="0.35">
      <c r="A29" s="20" t="s">
        <v>445</v>
      </c>
      <c r="B29" s="20" t="s">
        <v>33</v>
      </c>
      <c r="C29" s="20" t="s">
        <v>23</v>
      </c>
      <c r="D29" s="20" t="s">
        <v>58</v>
      </c>
      <c r="E29" s="20" t="s">
        <v>446</v>
      </c>
      <c r="F29" s="20" t="s">
        <v>447</v>
      </c>
      <c r="G29" s="19">
        <f t="shared" si="0"/>
        <v>1.0238298680337987</v>
      </c>
      <c r="H29" s="20"/>
    </row>
    <row r="30" spans="1:8" ht="14" customHeight="1" x14ac:dyDescent="0.35">
      <c r="A30" s="20" t="s">
        <v>448</v>
      </c>
      <c r="B30" s="20" t="s">
        <v>449</v>
      </c>
      <c r="C30" s="20" t="s">
        <v>23</v>
      </c>
      <c r="D30" s="20" t="s">
        <v>58</v>
      </c>
      <c r="E30" s="20">
        <v>1942.54</v>
      </c>
      <c r="F30" s="20" t="s">
        <v>450</v>
      </c>
      <c r="G30" s="19">
        <f t="shared" si="0"/>
        <v>0.99772466961483741</v>
      </c>
      <c r="H30" s="20"/>
    </row>
    <row r="31" spans="1:8" ht="14" customHeight="1" x14ac:dyDescent="0.35">
      <c r="A31" s="20" t="s">
        <v>451</v>
      </c>
      <c r="B31" s="20" t="s">
        <v>449</v>
      </c>
      <c r="C31" s="20" t="s">
        <v>23</v>
      </c>
      <c r="D31" s="20" t="s">
        <v>58</v>
      </c>
      <c r="E31" s="20">
        <v>2935.33</v>
      </c>
      <c r="F31" s="20">
        <v>2946.43</v>
      </c>
      <c r="G31" s="19">
        <f t="shared" si="0"/>
        <v>0.99623272909928284</v>
      </c>
      <c r="H31" s="20"/>
    </row>
    <row r="32" spans="1:8" ht="14" customHeight="1" x14ac:dyDescent="0.35">
      <c r="A32" s="20" t="s">
        <v>32</v>
      </c>
      <c r="B32" s="20" t="s">
        <v>33</v>
      </c>
      <c r="C32" s="20" t="s">
        <v>23</v>
      </c>
      <c r="D32" s="20" t="s">
        <v>34</v>
      </c>
      <c r="E32" s="20">
        <v>5.835</v>
      </c>
      <c r="F32" s="14" t="s">
        <v>36</v>
      </c>
      <c r="G32" s="19">
        <f t="shared" si="0"/>
        <v>1.0161964472309299</v>
      </c>
    </row>
    <row r="33" spans="1:8" ht="14" customHeight="1" x14ac:dyDescent="0.35">
      <c r="A33" s="20" t="s">
        <v>37</v>
      </c>
      <c r="B33" s="20" t="s">
        <v>33</v>
      </c>
      <c r="C33" s="20" t="s">
        <v>23</v>
      </c>
      <c r="D33" s="20" t="s">
        <v>34</v>
      </c>
      <c r="E33" s="20">
        <v>5.4130000000000003</v>
      </c>
      <c r="F33" s="14" t="s">
        <v>39</v>
      </c>
      <c r="G33" s="19">
        <f t="shared" si="0"/>
        <v>0.93780318780318783</v>
      </c>
      <c r="H33" s="20"/>
    </row>
    <row r="34" spans="1:8" ht="14" customHeight="1" x14ac:dyDescent="0.35">
      <c r="A34" s="20" t="s">
        <v>41</v>
      </c>
      <c r="B34" s="20" t="s">
        <v>33</v>
      </c>
      <c r="C34" s="20" t="s">
        <v>23</v>
      </c>
      <c r="D34" s="20" t="s">
        <v>34</v>
      </c>
      <c r="E34" s="20">
        <v>5.4370000000000003</v>
      </c>
      <c r="F34" s="14" t="s">
        <v>43</v>
      </c>
      <c r="G34" s="19">
        <f t="shared" si="0"/>
        <v>0.94049472409617718</v>
      </c>
      <c r="H34" s="20"/>
    </row>
    <row r="35" spans="1:8" ht="14" customHeight="1" x14ac:dyDescent="0.35">
      <c r="A35" s="20" t="s">
        <v>44</v>
      </c>
      <c r="B35" s="20" t="s">
        <v>33</v>
      </c>
      <c r="C35" s="20" t="s">
        <v>23</v>
      </c>
      <c r="D35" s="20" t="s">
        <v>34</v>
      </c>
      <c r="E35" s="20" t="s">
        <v>452</v>
      </c>
      <c r="F35" s="14" t="s">
        <v>46</v>
      </c>
      <c r="G35" s="2">
        <f t="shared" si="0"/>
        <v>0.84698608964451316</v>
      </c>
      <c r="H35" s="20" t="s">
        <v>40</v>
      </c>
    </row>
    <row r="36" spans="1:8" ht="14" customHeight="1" x14ac:dyDescent="0.35">
      <c r="A36" s="20" t="s">
        <v>47</v>
      </c>
      <c r="B36" s="20" t="s">
        <v>33</v>
      </c>
      <c r="C36" s="20" t="s">
        <v>23</v>
      </c>
      <c r="D36" s="20" t="s">
        <v>34</v>
      </c>
      <c r="E36" s="20">
        <v>0.68500000000000005</v>
      </c>
      <c r="F36" s="14" t="s">
        <v>49</v>
      </c>
      <c r="G36" s="19">
        <f t="shared" si="0"/>
        <v>1.0300751879699248</v>
      </c>
      <c r="H36" s="20"/>
    </row>
    <row r="37" spans="1:8" ht="14" customHeight="1" x14ac:dyDescent="0.35">
      <c r="A37" s="20" t="s">
        <v>50</v>
      </c>
      <c r="B37" s="20" t="s">
        <v>33</v>
      </c>
      <c r="C37" s="20" t="s">
        <v>23</v>
      </c>
      <c r="D37" s="20" t="s">
        <v>34</v>
      </c>
      <c r="E37" s="20">
        <v>1.117</v>
      </c>
      <c r="F37" s="14" t="s">
        <v>52</v>
      </c>
      <c r="G37" s="19">
        <f t="shared" si="0"/>
        <v>1.0063063063063062</v>
      </c>
      <c r="H37" s="20"/>
    </row>
    <row r="38" spans="1:8" ht="14" customHeight="1" x14ac:dyDescent="0.35">
      <c r="A38" s="20" t="s">
        <v>53</v>
      </c>
      <c r="B38" s="20" t="s">
        <v>33</v>
      </c>
      <c r="C38" s="20" t="s">
        <v>23</v>
      </c>
      <c r="D38" s="20" t="s">
        <v>34</v>
      </c>
      <c r="E38" s="20">
        <v>1.7909999999999999</v>
      </c>
      <c r="F38" s="14" t="s">
        <v>55</v>
      </c>
      <c r="G38" s="2">
        <f t="shared" si="0"/>
        <v>0.9082150101419878</v>
      </c>
      <c r="H38" s="20" t="s">
        <v>40</v>
      </c>
    </row>
    <row r="39" spans="1:8" ht="14" customHeight="1" x14ac:dyDescent="0.35">
      <c r="A39" s="20" t="s">
        <v>453</v>
      </c>
      <c r="B39" s="20" t="s">
        <v>33</v>
      </c>
      <c r="C39" s="20" t="s">
        <v>23</v>
      </c>
      <c r="D39" s="20" t="s">
        <v>58</v>
      </c>
      <c r="E39" s="20" t="s">
        <v>454</v>
      </c>
      <c r="F39" s="14" t="s">
        <v>455</v>
      </c>
      <c r="G39" s="19">
        <f t="shared" si="0"/>
        <v>0.96776305738044832</v>
      </c>
      <c r="H39" s="20"/>
    </row>
    <row r="40" spans="1:8" ht="14" customHeight="1" x14ac:dyDescent="0.35">
      <c r="A40" s="20" t="s">
        <v>456</v>
      </c>
      <c r="B40" s="20" t="s">
        <v>33</v>
      </c>
      <c r="C40" s="20" t="s">
        <v>23</v>
      </c>
      <c r="D40" s="20" t="s">
        <v>58</v>
      </c>
      <c r="E40" s="20" t="s">
        <v>457</v>
      </c>
      <c r="F40" s="20" t="s">
        <v>458</v>
      </c>
      <c r="G40" s="19">
        <f t="shared" si="0"/>
        <v>0.99580568638910849</v>
      </c>
      <c r="H40" s="20"/>
    </row>
    <row r="41" spans="1:8" ht="14" customHeight="1" x14ac:dyDescent="0.35">
      <c r="A41" s="20" t="s">
        <v>459</v>
      </c>
      <c r="B41" s="20" t="s">
        <v>33</v>
      </c>
      <c r="C41" s="20" t="s">
        <v>23</v>
      </c>
      <c r="D41" s="20" t="s">
        <v>58</v>
      </c>
      <c r="E41" s="20" t="s">
        <v>460</v>
      </c>
      <c r="F41" s="20">
        <v>128.12</v>
      </c>
      <c r="G41" s="19">
        <f t="shared" si="0"/>
        <v>1.0277083983765218</v>
      </c>
      <c r="H41" s="20"/>
    </row>
    <row r="42" spans="1:8" ht="14" customHeight="1" x14ac:dyDescent="0.35">
      <c r="A42" s="20" t="s">
        <v>461</v>
      </c>
      <c r="B42" s="20" t="s">
        <v>57</v>
      </c>
      <c r="C42" s="20" t="s">
        <v>23</v>
      </c>
      <c r="D42" s="20" t="s">
        <v>58</v>
      </c>
      <c r="E42" s="20" t="s">
        <v>462</v>
      </c>
      <c r="F42" s="20" t="s">
        <v>463</v>
      </c>
      <c r="G42" s="19">
        <f t="shared" si="0"/>
        <v>1.0012387001554965</v>
      </c>
      <c r="H42" s="20"/>
    </row>
    <row r="43" spans="1:8" ht="14" customHeight="1" x14ac:dyDescent="0.35">
      <c r="A43" s="20" t="s">
        <v>464</v>
      </c>
      <c r="B43" s="20" t="s">
        <v>33</v>
      </c>
      <c r="C43" s="20" t="s">
        <v>23</v>
      </c>
      <c r="D43" s="20" t="s">
        <v>170</v>
      </c>
      <c r="E43" s="20" t="s">
        <v>465</v>
      </c>
      <c r="F43" s="20" t="s">
        <v>466</v>
      </c>
      <c r="G43" s="19">
        <f t="shared" si="0"/>
        <v>1.0017151118990297</v>
      </c>
      <c r="H43" s="20"/>
    </row>
    <row r="44" spans="1:8" ht="14" customHeight="1" x14ac:dyDescent="0.35">
      <c r="A44" s="20" t="s">
        <v>467</v>
      </c>
      <c r="B44" s="20" t="s">
        <v>33</v>
      </c>
      <c r="C44" s="20" t="s">
        <v>23</v>
      </c>
      <c r="D44" s="20" t="s">
        <v>170</v>
      </c>
      <c r="E44" s="20" t="s">
        <v>468</v>
      </c>
      <c r="F44" s="20" t="s">
        <v>469</v>
      </c>
      <c r="G44" s="19">
        <f t="shared" si="0"/>
        <v>0.99649158724642328</v>
      </c>
      <c r="H44" s="20"/>
    </row>
    <row r="45" spans="1:8" ht="14" customHeight="1" x14ac:dyDescent="0.35">
      <c r="A45" s="20" t="s">
        <v>470</v>
      </c>
      <c r="B45" s="20" t="s">
        <v>57</v>
      </c>
      <c r="C45" s="20" t="s">
        <v>23</v>
      </c>
      <c r="D45" s="20" t="s">
        <v>58</v>
      </c>
      <c r="E45" s="20" t="s">
        <v>471</v>
      </c>
      <c r="F45" s="20" t="s">
        <v>472</v>
      </c>
      <c r="G45" s="19">
        <f t="shared" si="0"/>
        <v>0.97303391553460872</v>
      </c>
      <c r="H45" s="20"/>
    </row>
    <row r="46" spans="1:8" ht="14" customHeight="1" x14ac:dyDescent="0.35">
      <c r="A46" s="20" t="s">
        <v>473</v>
      </c>
      <c r="B46" s="20" t="s">
        <v>474</v>
      </c>
      <c r="C46" s="20" t="s">
        <v>23</v>
      </c>
      <c r="D46" s="20" t="s">
        <v>58</v>
      </c>
      <c r="E46" s="20" t="s">
        <v>475</v>
      </c>
      <c r="F46" s="14" t="s">
        <v>476</v>
      </c>
      <c r="G46" s="19">
        <f t="shared" si="0"/>
        <v>1.005137181114077</v>
      </c>
      <c r="H46" s="20"/>
    </row>
    <row r="47" spans="1:8" ht="14" customHeight="1" x14ac:dyDescent="0.35">
      <c r="A47" s="20" t="s">
        <v>477</v>
      </c>
      <c r="B47" s="20" t="s">
        <v>474</v>
      </c>
      <c r="C47" s="20" t="s">
        <v>23</v>
      </c>
      <c r="D47" s="20" t="s">
        <v>58</v>
      </c>
      <c r="E47" s="20" t="s">
        <v>478</v>
      </c>
      <c r="F47" s="14" t="s">
        <v>479</v>
      </c>
      <c r="G47" s="19">
        <f t="shared" si="0"/>
        <v>1.012608353033885</v>
      </c>
      <c r="H47" s="20"/>
    </row>
    <row r="48" spans="1:8" ht="14" customHeight="1" x14ac:dyDescent="0.35">
      <c r="A48" s="20" t="s">
        <v>480</v>
      </c>
      <c r="B48" s="20" t="s">
        <v>33</v>
      </c>
      <c r="C48" s="20" t="s">
        <v>23</v>
      </c>
      <c r="D48" s="20" t="s">
        <v>481</v>
      </c>
      <c r="E48" s="20" t="s">
        <v>482</v>
      </c>
      <c r="F48" s="20" t="s">
        <v>483</v>
      </c>
      <c r="G48" s="19">
        <f t="shared" si="0"/>
        <v>0.97168597168597171</v>
      </c>
      <c r="H48" s="20"/>
    </row>
    <row r="49" spans="1:8" ht="14" customHeight="1" x14ac:dyDescent="0.35">
      <c r="A49" s="20" t="s">
        <v>484</v>
      </c>
      <c r="B49" s="20" t="s">
        <v>485</v>
      </c>
      <c r="C49" s="20" t="s">
        <v>23</v>
      </c>
      <c r="D49" s="20" t="s">
        <v>486</v>
      </c>
      <c r="E49" s="20" t="s">
        <v>487</v>
      </c>
      <c r="F49" s="20" t="s">
        <v>488</v>
      </c>
      <c r="G49" s="19">
        <f t="shared" si="0"/>
        <v>0.96319018404907975</v>
      </c>
      <c r="H49" s="20"/>
    </row>
    <row r="50" spans="1:8" ht="14" customHeight="1" x14ac:dyDescent="0.35">
      <c r="A50" s="20" t="s">
        <v>484</v>
      </c>
      <c r="B50" s="20" t="s">
        <v>489</v>
      </c>
      <c r="C50" s="20" t="s">
        <v>23</v>
      </c>
      <c r="D50" s="20" t="s">
        <v>486</v>
      </c>
      <c r="E50" s="20" t="s">
        <v>490</v>
      </c>
      <c r="F50" s="20" t="s">
        <v>491</v>
      </c>
      <c r="G50" s="19">
        <f t="shared" si="0"/>
        <v>0.98064516129032253</v>
      </c>
      <c r="H50" s="20"/>
    </row>
    <row r="51" spans="1:8" ht="14" customHeight="1" x14ac:dyDescent="0.35">
      <c r="A51" s="20" t="s">
        <v>492</v>
      </c>
      <c r="B51" s="20" t="s">
        <v>485</v>
      </c>
      <c r="C51" s="20" t="s">
        <v>23</v>
      </c>
      <c r="D51" s="20" t="s">
        <v>486</v>
      </c>
      <c r="E51" s="20" t="s">
        <v>493</v>
      </c>
      <c r="F51" s="20" t="s">
        <v>494</v>
      </c>
      <c r="G51" s="19">
        <f t="shared" ref="G51:G82" si="1">E51/F51</f>
        <v>0.97777777777777775</v>
      </c>
      <c r="H51" s="20"/>
    </row>
    <row r="52" spans="1:8" ht="14" customHeight="1" x14ac:dyDescent="0.35">
      <c r="A52" s="20" t="s">
        <v>492</v>
      </c>
      <c r="B52" s="20" t="s">
        <v>489</v>
      </c>
      <c r="C52" s="20" t="s">
        <v>23</v>
      </c>
      <c r="D52" s="20" t="s">
        <v>486</v>
      </c>
      <c r="E52" s="20" t="s">
        <v>495</v>
      </c>
      <c r="F52" s="20" t="s">
        <v>496</v>
      </c>
      <c r="G52" s="19">
        <f t="shared" si="1"/>
        <v>0.9882352941176471</v>
      </c>
      <c r="H52" s="20"/>
    </row>
    <row r="53" spans="1:8" ht="14" customHeight="1" x14ac:dyDescent="0.35">
      <c r="A53" s="20" t="s">
        <v>497</v>
      </c>
      <c r="B53" s="20" t="s">
        <v>485</v>
      </c>
      <c r="C53" s="20" t="s">
        <v>23</v>
      </c>
      <c r="D53" s="20" t="s">
        <v>486</v>
      </c>
      <c r="E53" s="20" t="s">
        <v>498</v>
      </c>
      <c r="F53" s="20" t="s">
        <v>498</v>
      </c>
      <c r="G53" s="19">
        <f t="shared" si="1"/>
        <v>1</v>
      </c>
      <c r="H53" s="20"/>
    </row>
    <row r="54" spans="1:8" ht="14" customHeight="1" x14ac:dyDescent="0.35">
      <c r="A54" s="20" t="s">
        <v>497</v>
      </c>
      <c r="B54" s="20" t="s">
        <v>489</v>
      </c>
      <c r="C54" s="20" t="s">
        <v>23</v>
      </c>
      <c r="D54" s="20" t="s">
        <v>486</v>
      </c>
      <c r="E54" s="20" t="s">
        <v>499</v>
      </c>
      <c r="F54" s="20" t="s">
        <v>499</v>
      </c>
      <c r="G54" s="19">
        <f t="shared" si="1"/>
        <v>1</v>
      </c>
      <c r="H54" s="20"/>
    </row>
    <row r="55" spans="1:8" ht="14" customHeight="1" x14ac:dyDescent="0.35">
      <c r="A55" s="20" t="s">
        <v>500</v>
      </c>
      <c r="B55" s="20" t="s">
        <v>489</v>
      </c>
      <c r="C55" s="20" t="s">
        <v>23</v>
      </c>
      <c r="D55" s="20" t="s">
        <v>486</v>
      </c>
      <c r="E55" s="20" t="s">
        <v>501</v>
      </c>
      <c r="F55" s="20">
        <v>0.13039999999999999</v>
      </c>
      <c r="G55" s="19">
        <f t="shared" si="1"/>
        <v>0.99693251533742344</v>
      </c>
      <c r="H55" s="20"/>
    </row>
    <row r="56" spans="1:8" ht="14" customHeight="1" x14ac:dyDescent="0.35">
      <c r="A56" s="20" t="s">
        <v>502</v>
      </c>
      <c r="B56" s="20" t="s">
        <v>485</v>
      </c>
      <c r="C56" s="20" t="s">
        <v>23</v>
      </c>
      <c r="D56" s="20" t="s">
        <v>486</v>
      </c>
      <c r="E56" s="20" t="s">
        <v>503</v>
      </c>
      <c r="F56" s="20" t="s">
        <v>503</v>
      </c>
      <c r="G56" s="19">
        <f t="shared" si="1"/>
        <v>1</v>
      </c>
      <c r="H56" s="20"/>
    </row>
    <row r="57" spans="1:8" ht="14" customHeight="1" x14ac:dyDescent="0.35">
      <c r="A57" s="20" t="s">
        <v>502</v>
      </c>
      <c r="B57" s="20" t="s">
        <v>489</v>
      </c>
      <c r="C57" s="20" t="s">
        <v>23</v>
      </c>
      <c r="D57" s="20" t="s">
        <v>486</v>
      </c>
      <c r="E57" s="20" t="s">
        <v>504</v>
      </c>
      <c r="F57" s="20" t="s">
        <v>504</v>
      </c>
      <c r="G57" s="19">
        <f t="shared" si="1"/>
        <v>1</v>
      </c>
      <c r="H57" s="20"/>
    </row>
    <row r="58" spans="1:8" ht="14" customHeight="1" x14ac:dyDescent="0.35">
      <c r="A58" s="20" t="s">
        <v>505</v>
      </c>
      <c r="B58" s="20" t="s">
        <v>485</v>
      </c>
      <c r="C58" s="20" t="s">
        <v>23</v>
      </c>
      <c r="D58" s="20" t="s">
        <v>486</v>
      </c>
      <c r="E58" s="20" t="s">
        <v>506</v>
      </c>
      <c r="F58" s="20" t="s">
        <v>507</v>
      </c>
      <c r="G58" s="2">
        <f t="shared" si="1"/>
        <v>0.8571428571428571</v>
      </c>
      <c r="H58" s="20" t="s">
        <v>40</v>
      </c>
    </row>
    <row r="59" spans="1:8" ht="14" customHeight="1" x14ac:dyDescent="0.35">
      <c r="A59" s="20" t="s">
        <v>505</v>
      </c>
      <c r="B59" s="20" t="s">
        <v>489</v>
      </c>
      <c r="C59" s="20" t="s">
        <v>23</v>
      </c>
      <c r="D59" s="20" t="s">
        <v>486</v>
      </c>
      <c r="E59" s="20" t="s">
        <v>508</v>
      </c>
      <c r="F59" s="20" t="s">
        <v>508</v>
      </c>
      <c r="G59" s="19">
        <f t="shared" si="1"/>
        <v>1</v>
      </c>
      <c r="H59" s="20"/>
    </row>
    <row r="60" spans="1:8" ht="14" customHeight="1" x14ac:dyDescent="0.35">
      <c r="A60" s="20" t="s">
        <v>100</v>
      </c>
      <c r="B60" s="20" t="s">
        <v>33</v>
      </c>
      <c r="C60" s="20" t="s">
        <v>23</v>
      </c>
      <c r="D60" s="20" t="s">
        <v>58</v>
      </c>
      <c r="E60" s="20" t="s">
        <v>509</v>
      </c>
      <c r="F60" s="14" t="s">
        <v>102</v>
      </c>
      <c r="G60" s="12">
        <f t="shared" si="1"/>
        <v>0.96562988211901712</v>
      </c>
      <c r="H60" s="14" t="s">
        <v>103</v>
      </c>
    </row>
    <row r="61" spans="1:8" ht="14" customHeight="1" x14ac:dyDescent="0.35">
      <c r="A61" s="20" t="s">
        <v>104</v>
      </c>
      <c r="B61" s="20" t="s">
        <v>33</v>
      </c>
      <c r="C61" s="20" t="s">
        <v>23</v>
      </c>
      <c r="D61" s="20" t="s">
        <v>58</v>
      </c>
      <c r="E61" s="20" t="s">
        <v>510</v>
      </c>
      <c r="F61" s="14" t="s">
        <v>106</v>
      </c>
      <c r="G61" s="12">
        <f t="shared" si="1"/>
        <v>0.9735574349641366</v>
      </c>
      <c r="H61" s="14" t="s">
        <v>107</v>
      </c>
    </row>
    <row r="62" spans="1:8" ht="14" customHeight="1" x14ac:dyDescent="0.35">
      <c r="A62" s="20" t="s">
        <v>108</v>
      </c>
      <c r="B62" s="20" t="s">
        <v>33</v>
      </c>
      <c r="C62" s="20" t="s">
        <v>23</v>
      </c>
      <c r="D62" s="20" t="s">
        <v>58</v>
      </c>
      <c r="E62" s="20">
        <v>55.000999999999998</v>
      </c>
      <c r="F62" s="14" t="s">
        <v>110</v>
      </c>
      <c r="G62" s="12">
        <f t="shared" si="1"/>
        <v>0.94145940672018624</v>
      </c>
      <c r="H62" s="14" t="s">
        <v>111</v>
      </c>
    </row>
    <row r="63" spans="1:8" ht="14" customHeight="1" x14ac:dyDescent="0.35">
      <c r="A63" s="20" t="s">
        <v>112</v>
      </c>
      <c r="B63" s="20" t="s">
        <v>33</v>
      </c>
      <c r="C63" s="20" t="s">
        <v>23</v>
      </c>
      <c r="D63" s="20" t="s">
        <v>58</v>
      </c>
      <c r="E63" s="20" t="s">
        <v>511</v>
      </c>
      <c r="F63" s="14" t="s">
        <v>114</v>
      </c>
      <c r="G63" s="19">
        <f t="shared" si="1"/>
        <v>1.0220109905798076</v>
      </c>
      <c r="H63" s="20"/>
    </row>
    <row r="64" spans="1:8" ht="14" customHeight="1" x14ac:dyDescent="0.35">
      <c r="A64" s="20" t="s">
        <v>512</v>
      </c>
      <c r="B64" s="20" t="s">
        <v>513</v>
      </c>
      <c r="C64" s="20" t="s">
        <v>23</v>
      </c>
      <c r="D64" s="20" t="s">
        <v>58</v>
      </c>
      <c r="E64" s="20" t="s">
        <v>514</v>
      </c>
      <c r="F64" s="14" t="s">
        <v>515</v>
      </c>
      <c r="G64" s="19">
        <f t="shared" si="1"/>
        <v>1.0369579869692205</v>
      </c>
      <c r="H64" s="20"/>
    </row>
    <row r="65" spans="1:8" ht="14" customHeight="1" x14ac:dyDescent="0.35">
      <c r="A65" s="20" t="s">
        <v>516</v>
      </c>
      <c r="B65" s="20" t="s">
        <v>33</v>
      </c>
      <c r="C65" s="20" t="s">
        <v>23</v>
      </c>
      <c r="D65" s="20" t="s">
        <v>170</v>
      </c>
      <c r="E65" s="20" t="s">
        <v>517</v>
      </c>
      <c r="F65" s="20" t="s">
        <v>518</v>
      </c>
      <c r="G65" s="19">
        <f t="shared" si="1"/>
        <v>1.0012597343105818</v>
      </c>
      <c r="H65" s="20"/>
    </row>
    <row r="66" spans="1:8" ht="14" customHeight="1" x14ac:dyDescent="0.35">
      <c r="A66" s="20" t="s">
        <v>519</v>
      </c>
      <c r="B66" s="20" t="s">
        <v>33</v>
      </c>
      <c r="C66" s="20" t="s">
        <v>23</v>
      </c>
      <c r="D66" s="20" t="s">
        <v>170</v>
      </c>
      <c r="E66" s="20" t="s">
        <v>520</v>
      </c>
      <c r="F66" s="20" t="s">
        <v>521</v>
      </c>
      <c r="G66" s="19">
        <f t="shared" si="1"/>
        <v>0.99187935034802788</v>
      </c>
      <c r="H66" s="20"/>
    </row>
    <row r="67" spans="1:8" ht="14" customHeight="1" x14ac:dyDescent="0.35">
      <c r="A67" s="20" t="s">
        <v>522</v>
      </c>
      <c r="B67" s="20" t="s">
        <v>33</v>
      </c>
      <c r="C67" s="20" t="s">
        <v>23</v>
      </c>
      <c r="D67" s="20" t="s">
        <v>170</v>
      </c>
      <c r="E67" s="20" t="s">
        <v>523</v>
      </c>
      <c r="F67" s="20" t="s">
        <v>524</v>
      </c>
      <c r="G67" s="2">
        <f t="shared" si="1"/>
        <v>0.88102592904614818</v>
      </c>
      <c r="H67" s="20" t="s">
        <v>40</v>
      </c>
    </row>
    <row r="68" spans="1:8" ht="14" customHeight="1" x14ac:dyDescent="0.35">
      <c r="A68" s="20" t="s">
        <v>525</v>
      </c>
      <c r="B68" s="20" t="s">
        <v>33</v>
      </c>
      <c r="C68" s="20" t="s">
        <v>23</v>
      </c>
      <c r="D68" s="20" t="s">
        <v>170</v>
      </c>
      <c r="E68" s="20" t="s">
        <v>526</v>
      </c>
      <c r="F68" s="20" t="s">
        <v>527</v>
      </c>
      <c r="G68" s="19">
        <f t="shared" si="1"/>
        <v>0.96179995390643003</v>
      </c>
      <c r="H68" s="20"/>
    </row>
    <row r="69" spans="1:8" ht="14" customHeight="1" x14ac:dyDescent="0.35">
      <c r="A69" s="20" t="s">
        <v>528</v>
      </c>
      <c r="B69" s="20" t="s">
        <v>33</v>
      </c>
      <c r="C69" s="20" t="s">
        <v>23</v>
      </c>
      <c r="D69" s="20" t="s">
        <v>170</v>
      </c>
      <c r="E69" s="20" t="s">
        <v>529</v>
      </c>
      <c r="F69" s="20" t="s">
        <v>530</v>
      </c>
      <c r="G69" s="19">
        <f t="shared" si="1"/>
        <v>0.96840885684860956</v>
      </c>
      <c r="H69" s="20"/>
    </row>
    <row r="70" spans="1:8" ht="14" customHeight="1" x14ac:dyDescent="0.35">
      <c r="A70" s="20" t="s">
        <v>127</v>
      </c>
      <c r="B70" s="20" t="s">
        <v>33</v>
      </c>
      <c r="C70" s="14" t="s">
        <v>23</v>
      </c>
      <c r="D70" s="14" t="s">
        <v>58</v>
      </c>
      <c r="E70" s="20" t="s">
        <v>128</v>
      </c>
      <c r="F70" s="14" t="s">
        <v>129</v>
      </c>
      <c r="G70" s="20" t="s">
        <v>128</v>
      </c>
      <c r="H70" s="18" t="s">
        <v>531</v>
      </c>
    </row>
    <row r="71" spans="1:8" ht="14" customHeight="1" x14ac:dyDescent="0.35">
      <c r="A71" s="20" t="s">
        <v>131</v>
      </c>
      <c r="B71" s="20" t="s">
        <v>33</v>
      </c>
      <c r="C71" s="14" t="s">
        <v>23</v>
      </c>
      <c r="D71" s="14" t="s">
        <v>58</v>
      </c>
      <c r="E71" s="20" t="s">
        <v>128</v>
      </c>
      <c r="F71" s="14" t="s">
        <v>132</v>
      </c>
      <c r="G71" s="20" t="s">
        <v>128</v>
      </c>
      <c r="H71" s="18" t="s">
        <v>531</v>
      </c>
    </row>
    <row r="72" spans="1:8" ht="14" customHeight="1" x14ac:dyDescent="0.35">
      <c r="A72" s="20" t="s">
        <v>133</v>
      </c>
      <c r="B72" s="20" t="s">
        <v>33</v>
      </c>
      <c r="C72" s="20" t="s">
        <v>23</v>
      </c>
      <c r="D72" s="20" t="s">
        <v>58</v>
      </c>
      <c r="E72" s="20" t="s">
        <v>532</v>
      </c>
      <c r="F72" s="20" t="s">
        <v>135</v>
      </c>
      <c r="G72" s="2">
        <f t="shared" ref="G72:G96" si="2">E72/F72</f>
        <v>0.90868705028262042</v>
      </c>
      <c r="H72" s="20" t="s">
        <v>40</v>
      </c>
    </row>
    <row r="73" spans="1:8" ht="14" customHeight="1" x14ac:dyDescent="0.35">
      <c r="A73" s="20" t="s">
        <v>136</v>
      </c>
      <c r="B73" s="20" t="s">
        <v>33</v>
      </c>
      <c r="C73" s="20" t="s">
        <v>23</v>
      </c>
      <c r="D73" s="20" t="s">
        <v>58</v>
      </c>
      <c r="E73" s="20" t="s">
        <v>533</v>
      </c>
      <c r="F73" s="20" t="s">
        <v>138</v>
      </c>
      <c r="G73" s="2">
        <f t="shared" si="2"/>
        <v>0.90632773838226988</v>
      </c>
      <c r="H73" s="20" t="s">
        <v>40</v>
      </c>
    </row>
    <row r="74" spans="1:8" ht="14" customHeight="1" x14ac:dyDescent="0.35">
      <c r="A74" s="20" t="s">
        <v>139</v>
      </c>
      <c r="B74" s="20" t="s">
        <v>33</v>
      </c>
      <c r="C74" s="20" t="s">
        <v>23</v>
      </c>
      <c r="D74" s="20" t="s">
        <v>58</v>
      </c>
      <c r="E74" s="20" t="s">
        <v>534</v>
      </c>
      <c r="F74" s="20" t="s">
        <v>141</v>
      </c>
      <c r="G74" s="2">
        <f t="shared" si="2"/>
        <v>0.90428291702930175</v>
      </c>
      <c r="H74" s="20" t="s">
        <v>40</v>
      </c>
    </row>
    <row r="75" spans="1:8" ht="14" customHeight="1" x14ac:dyDescent="0.35">
      <c r="A75" s="20" t="s">
        <v>535</v>
      </c>
      <c r="B75" s="20" t="s">
        <v>536</v>
      </c>
      <c r="C75" s="20" t="s">
        <v>23</v>
      </c>
      <c r="D75" s="20" t="s">
        <v>58</v>
      </c>
      <c r="E75" s="20" t="s">
        <v>537</v>
      </c>
      <c r="F75" s="20" t="s">
        <v>538</v>
      </c>
      <c r="G75" s="19">
        <f t="shared" si="2"/>
        <v>0.95946398659966503</v>
      </c>
      <c r="H75" s="20"/>
    </row>
    <row r="76" spans="1:8" ht="14" customHeight="1" x14ac:dyDescent="0.35">
      <c r="A76" s="20" t="s">
        <v>539</v>
      </c>
      <c r="B76" s="20" t="s">
        <v>536</v>
      </c>
      <c r="C76" s="20" t="s">
        <v>23</v>
      </c>
      <c r="D76" s="20" t="s">
        <v>58</v>
      </c>
      <c r="E76" s="20" t="s">
        <v>540</v>
      </c>
      <c r="F76" s="20" t="s">
        <v>540</v>
      </c>
      <c r="G76" s="19">
        <f t="shared" si="2"/>
        <v>1</v>
      </c>
      <c r="H76" s="20"/>
    </row>
    <row r="77" spans="1:8" ht="14" customHeight="1" x14ac:dyDescent="0.35">
      <c r="A77" s="20" t="s">
        <v>541</v>
      </c>
      <c r="B77" s="20" t="s">
        <v>536</v>
      </c>
      <c r="C77" s="20" t="s">
        <v>23</v>
      </c>
      <c r="D77" s="20" t="s">
        <v>58</v>
      </c>
      <c r="E77" s="20" t="s">
        <v>542</v>
      </c>
      <c r="F77" s="20" t="s">
        <v>543</v>
      </c>
      <c r="G77" s="19">
        <f t="shared" si="2"/>
        <v>0.9961375549749264</v>
      </c>
      <c r="H77" s="20"/>
    </row>
    <row r="78" spans="1:8" ht="14" customHeight="1" x14ac:dyDescent="0.35">
      <c r="A78" s="20" t="s">
        <v>544</v>
      </c>
      <c r="B78" s="20" t="s">
        <v>536</v>
      </c>
      <c r="C78" s="20" t="s">
        <v>23</v>
      </c>
      <c r="D78" s="20" t="s">
        <v>58</v>
      </c>
      <c r="E78" s="20" t="s">
        <v>545</v>
      </c>
      <c r="F78" s="20" t="s">
        <v>546</v>
      </c>
      <c r="G78" s="19">
        <f t="shared" si="2"/>
        <v>0.980671444813912</v>
      </c>
      <c r="H78" s="20"/>
    </row>
    <row r="79" spans="1:8" ht="14" customHeight="1" x14ac:dyDescent="0.35">
      <c r="A79" s="20" t="s">
        <v>547</v>
      </c>
      <c r="B79" s="20" t="s">
        <v>536</v>
      </c>
      <c r="C79" s="20" t="s">
        <v>23</v>
      </c>
      <c r="D79" s="20" t="s">
        <v>58</v>
      </c>
      <c r="E79" s="20" t="s">
        <v>548</v>
      </c>
      <c r="F79" s="20" t="s">
        <v>549</v>
      </c>
      <c r="G79" s="2">
        <f t="shared" si="2"/>
        <v>1.0653122008296991</v>
      </c>
      <c r="H79" s="20" t="s">
        <v>550</v>
      </c>
    </row>
    <row r="80" spans="1:8" ht="14" customHeight="1" x14ac:dyDescent="0.35">
      <c r="A80" s="20" t="s">
        <v>551</v>
      </c>
      <c r="B80" s="20" t="s">
        <v>33</v>
      </c>
      <c r="C80" s="20" t="s">
        <v>23</v>
      </c>
      <c r="D80" s="20" t="s">
        <v>552</v>
      </c>
      <c r="E80" s="20" t="s">
        <v>504</v>
      </c>
      <c r="F80" s="20" t="s">
        <v>504</v>
      </c>
      <c r="G80" s="19">
        <f t="shared" si="2"/>
        <v>1</v>
      </c>
      <c r="H80" s="20"/>
    </row>
    <row r="81" spans="1:8" ht="14" customHeight="1" x14ac:dyDescent="0.35">
      <c r="A81" s="20" t="s">
        <v>553</v>
      </c>
      <c r="B81" s="20" t="s">
        <v>33</v>
      </c>
      <c r="C81" s="20" t="s">
        <v>23</v>
      </c>
      <c r="D81" s="20" t="s">
        <v>552</v>
      </c>
      <c r="E81" s="20" t="s">
        <v>554</v>
      </c>
      <c r="F81" s="20" t="s">
        <v>555</v>
      </c>
      <c r="G81" s="19">
        <f t="shared" si="2"/>
        <v>1.028169014084507</v>
      </c>
      <c r="H81" s="20"/>
    </row>
    <row r="82" spans="1:8" ht="14" customHeight="1" x14ac:dyDescent="0.35">
      <c r="A82" s="20" t="s">
        <v>556</v>
      </c>
      <c r="B82" s="20" t="s">
        <v>33</v>
      </c>
      <c r="C82" s="20" t="s">
        <v>23</v>
      </c>
      <c r="D82" s="20" t="s">
        <v>552</v>
      </c>
      <c r="E82" s="20" t="s">
        <v>557</v>
      </c>
      <c r="F82" s="20" t="s">
        <v>558</v>
      </c>
      <c r="G82" s="19">
        <f t="shared" si="2"/>
        <v>1.0369565217391303</v>
      </c>
      <c r="H82" s="20"/>
    </row>
    <row r="83" spans="1:8" ht="14" customHeight="1" x14ac:dyDescent="0.35">
      <c r="A83" s="20" t="s">
        <v>165</v>
      </c>
      <c r="B83" s="20" t="s">
        <v>57</v>
      </c>
      <c r="C83" s="20" t="s">
        <v>23</v>
      </c>
      <c r="D83" s="20" t="s">
        <v>58</v>
      </c>
      <c r="E83" s="20" t="s">
        <v>559</v>
      </c>
      <c r="F83" s="20" t="s">
        <v>167</v>
      </c>
      <c r="G83" s="19">
        <f t="shared" si="2"/>
        <v>0.9524655101762054</v>
      </c>
      <c r="H83" s="20"/>
    </row>
    <row r="84" spans="1:8" ht="14" customHeight="1" x14ac:dyDescent="0.35">
      <c r="A84" s="20" t="s">
        <v>169</v>
      </c>
      <c r="B84" s="20" t="s">
        <v>33</v>
      </c>
      <c r="C84" s="20" t="s">
        <v>23</v>
      </c>
      <c r="D84" s="20" t="s">
        <v>170</v>
      </c>
      <c r="E84" s="20" t="s">
        <v>560</v>
      </c>
      <c r="F84" s="20" t="s">
        <v>172</v>
      </c>
      <c r="G84" s="19">
        <f t="shared" si="2"/>
        <v>1.0023234540608268</v>
      </c>
      <c r="H84" s="20"/>
    </row>
    <row r="85" spans="1:8" ht="14" customHeight="1" x14ac:dyDescent="0.35">
      <c r="A85" s="20" t="s">
        <v>173</v>
      </c>
      <c r="B85" s="20" t="s">
        <v>33</v>
      </c>
      <c r="C85" s="20" t="s">
        <v>23</v>
      </c>
      <c r="D85" s="20" t="s">
        <v>170</v>
      </c>
      <c r="E85" s="20" t="s">
        <v>561</v>
      </c>
      <c r="F85" s="20" t="s">
        <v>175</v>
      </c>
      <c r="G85" s="19">
        <f t="shared" si="2"/>
        <v>0.99817074166625841</v>
      </c>
      <c r="H85" s="20"/>
    </row>
    <row r="86" spans="1:8" ht="14" customHeight="1" x14ac:dyDescent="0.35">
      <c r="A86" s="20" t="s">
        <v>176</v>
      </c>
      <c r="B86" s="20" t="s">
        <v>33</v>
      </c>
      <c r="C86" s="20" t="s">
        <v>23</v>
      </c>
      <c r="D86" s="20" t="s">
        <v>170</v>
      </c>
      <c r="E86" s="20" t="s">
        <v>562</v>
      </c>
      <c r="F86" s="20" t="s">
        <v>178</v>
      </c>
      <c r="G86" s="19">
        <f t="shared" si="2"/>
        <v>1.003593288673464</v>
      </c>
      <c r="H86" s="20"/>
    </row>
    <row r="87" spans="1:8" ht="14" customHeight="1" x14ac:dyDescent="0.35">
      <c r="A87" s="20" t="s">
        <v>179</v>
      </c>
      <c r="B87" s="20" t="s">
        <v>33</v>
      </c>
      <c r="C87" s="20" t="s">
        <v>23</v>
      </c>
      <c r="D87" s="20" t="s">
        <v>170</v>
      </c>
      <c r="E87" s="20" t="s">
        <v>563</v>
      </c>
      <c r="F87" s="20" t="s">
        <v>181</v>
      </c>
      <c r="G87" s="19">
        <f t="shared" si="2"/>
        <v>0.99120653073431619</v>
      </c>
      <c r="H87" s="20"/>
    </row>
    <row r="88" spans="1:8" ht="14" customHeight="1" x14ac:dyDescent="0.35">
      <c r="A88" s="20" t="s">
        <v>182</v>
      </c>
      <c r="B88" s="20" t="s">
        <v>33</v>
      </c>
      <c r="C88" s="20" t="s">
        <v>23</v>
      </c>
      <c r="D88" s="20" t="s">
        <v>170</v>
      </c>
      <c r="E88" s="20" t="s">
        <v>564</v>
      </c>
      <c r="F88" s="20" t="s">
        <v>184</v>
      </c>
      <c r="G88" s="19">
        <f t="shared" si="2"/>
        <v>1.0015949630610415</v>
      </c>
      <c r="H88" s="20"/>
    </row>
    <row r="89" spans="1:8" ht="14" customHeight="1" x14ac:dyDescent="0.35">
      <c r="A89" s="20" t="s">
        <v>185</v>
      </c>
      <c r="B89" s="20" t="s">
        <v>33</v>
      </c>
      <c r="C89" s="20" t="s">
        <v>23</v>
      </c>
      <c r="D89" s="20" t="s">
        <v>170</v>
      </c>
      <c r="E89" s="20" t="s">
        <v>565</v>
      </c>
      <c r="F89" s="20" t="s">
        <v>187</v>
      </c>
      <c r="G89" s="19">
        <f t="shared" si="2"/>
        <v>1.0225079465022595</v>
      </c>
      <c r="H89" s="20"/>
    </row>
    <row r="90" spans="1:8" ht="14" customHeight="1" x14ac:dyDescent="0.35">
      <c r="A90" s="20" t="s">
        <v>188</v>
      </c>
      <c r="B90" s="20" t="s">
        <v>33</v>
      </c>
      <c r="C90" s="20" t="s">
        <v>23</v>
      </c>
      <c r="D90" s="20" t="s">
        <v>170</v>
      </c>
      <c r="E90" s="20" t="s">
        <v>566</v>
      </c>
      <c r="F90" s="20" t="s">
        <v>190</v>
      </c>
      <c r="G90" s="19">
        <f t="shared" si="2"/>
        <v>1.002739926607872</v>
      </c>
      <c r="H90" s="20"/>
    </row>
    <row r="91" spans="1:8" ht="14" customHeight="1" x14ac:dyDescent="0.35">
      <c r="A91" s="20" t="s">
        <v>191</v>
      </c>
      <c r="B91" s="20" t="s">
        <v>33</v>
      </c>
      <c r="C91" s="20" t="s">
        <v>23</v>
      </c>
      <c r="D91" s="20" t="s">
        <v>170</v>
      </c>
      <c r="E91" s="20" t="s">
        <v>567</v>
      </c>
      <c r="F91" s="20" t="s">
        <v>193</v>
      </c>
      <c r="G91" s="19">
        <f t="shared" si="2"/>
        <v>1.0038811999041433</v>
      </c>
      <c r="H91" s="20"/>
    </row>
    <row r="92" spans="1:8" ht="14" customHeight="1" x14ac:dyDescent="0.35">
      <c r="A92" s="20" t="s">
        <v>194</v>
      </c>
      <c r="B92" s="20" t="s">
        <v>33</v>
      </c>
      <c r="C92" s="20" t="s">
        <v>23</v>
      </c>
      <c r="D92" s="20" t="s">
        <v>170</v>
      </c>
      <c r="E92" s="20" t="s">
        <v>568</v>
      </c>
      <c r="F92" s="20" t="s">
        <v>196</v>
      </c>
      <c r="G92" s="19">
        <f t="shared" si="2"/>
        <v>1.0115642353766332</v>
      </c>
      <c r="H92" s="20"/>
    </row>
    <row r="93" spans="1:8" ht="14" customHeight="1" x14ac:dyDescent="0.35">
      <c r="A93" s="20" t="s">
        <v>206</v>
      </c>
      <c r="B93" s="20" t="s">
        <v>33</v>
      </c>
      <c r="C93" s="20" t="s">
        <v>23</v>
      </c>
      <c r="D93" s="20" t="s">
        <v>34</v>
      </c>
      <c r="E93" s="20" t="s">
        <v>569</v>
      </c>
      <c r="F93" s="20" t="s">
        <v>208</v>
      </c>
      <c r="G93" s="19">
        <f t="shared" si="2"/>
        <v>1.0032284100080711</v>
      </c>
      <c r="H93" s="20"/>
    </row>
    <row r="94" spans="1:8" ht="14" customHeight="1" x14ac:dyDescent="0.35">
      <c r="A94" s="20" t="s">
        <v>570</v>
      </c>
      <c r="B94" s="20" t="s">
        <v>33</v>
      </c>
      <c r="C94" s="20" t="s">
        <v>23</v>
      </c>
      <c r="D94" s="20" t="s">
        <v>58</v>
      </c>
      <c r="E94" s="20" t="s">
        <v>571</v>
      </c>
      <c r="F94" s="20" t="s">
        <v>572</v>
      </c>
      <c r="G94" s="19">
        <f t="shared" si="2"/>
        <v>1.0071235559876472</v>
      </c>
      <c r="H94" s="20"/>
    </row>
    <row r="95" spans="1:8" ht="14" customHeight="1" x14ac:dyDescent="0.35">
      <c r="A95" s="20" t="s">
        <v>573</v>
      </c>
      <c r="B95" s="20" t="s">
        <v>33</v>
      </c>
      <c r="C95" s="20" t="s">
        <v>23</v>
      </c>
      <c r="D95" s="20" t="s">
        <v>58</v>
      </c>
      <c r="E95" s="20" t="s">
        <v>574</v>
      </c>
      <c r="F95" s="20" t="s">
        <v>575</v>
      </c>
      <c r="G95" s="19">
        <f t="shared" si="2"/>
        <v>1.0082960920414568</v>
      </c>
      <c r="H95" s="20"/>
    </row>
    <row r="96" spans="1:8" ht="14" customHeight="1" x14ac:dyDescent="0.35">
      <c r="A96" s="20" t="s">
        <v>576</v>
      </c>
      <c r="B96" s="20" t="s">
        <v>33</v>
      </c>
      <c r="C96" s="20" t="s">
        <v>23</v>
      </c>
      <c r="D96" s="20" t="s">
        <v>58</v>
      </c>
      <c r="E96" s="20" t="s">
        <v>577</v>
      </c>
      <c r="F96" s="20" t="s">
        <v>578</v>
      </c>
      <c r="G96" s="19">
        <f t="shared" si="2"/>
        <v>0.99219878647789661</v>
      </c>
      <c r="H96" s="20"/>
    </row>
    <row r="97" spans="1:8" ht="14" customHeight="1" x14ac:dyDescent="0.35">
      <c r="A97" s="20" t="s">
        <v>209</v>
      </c>
      <c r="B97" s="20" t="s">
        <v>210</v>
      </c>
      <c r="C97" s="20" t="s">
        <v>23</v>
      </c>
      <c r="D97" s="20" t="s">
        <v>58</v>
      </c>
      <c r="E97" s="20">
        <f>AVERAGE(0.21,0.2,0.21)</f>
        <v>0.20666666666666667</v>
      </c>
      <c r="F97" s="20" t="s">
        <v>128</v>
      </c>
      <c r="G97" s="20" t="s">
        <v>128</v>
      </c>
      <c r="H97" s="20" t="s">
        <v>211</v>
      </c>
    </row>
    <row r="98" spans="1:8" ht="14" customHeight="1" x14ac:dyDescent="0.35">
      <c r="A98" s="20" t="s">
        <v>212</v>
      </c>
      <c r="B98" s="20" t="s">
        <v>210</v>
      </c>
      <c r="C98" s="20" t="s">
        <v>23</v>
      </c>
      <c r="D98" s="20" t="s">
        <v>58</v>
      </c>
      <c r="E98" s="20">
        <f>AVERAGE(7.82,8.07,8.03)</f>
        <v>7.9733333333333336</v>
      </c>
      <c r="F98" s="20" t="s">
        <v>128</v>
      </c>
      <c r="G98" s="20" t="s">
        <v>128</v>
      </c>
      <c r="H98" s="20" t="s">
        <v>211</v>
      </c>
    </row>
    <row r="99" spans="1:8" ht="14" customHeight="1" x14ac:dyDescent="0.35">
      <c r="A99" s="20" t="s">
        <v>213</v>
      </c>
      <c r="B99" s="20" t="s">
        <v>210</v>
      </c>
      <c r="C99" s="20" t="s">
        <v>23</v>
      </c>
      <c r="D99" s="20" t="s">
        <v>58</v>
      </c>
      <c r="E99" s="20">
        <f>AVERAGE(9.5,9.23,9.77)</f>
        <v>9.5</v>
      </c>
      <c r="F99" s="20" t="s">
        <v>128</v>
      </c>
      <c r="G99" s="20" t="s">
        <v>128</v>
      </c>
      <c r="H99" s="20" t="s">
        <v>211</v>
      </c>
    </row>
    <row r="100" spans="1:8" ht="14" customHeight="1" x14ac:dyDescent="0.35">
      <c r="A100" s="20" t="s">
        <v>579</v>
      </c>
      <c r="B100" s="20" t="s">
        <v>33</v>
      </c>
      <c r="C100" s="20" t="s">
        <v>23</v>
      </c>
      <c r="D100" s="20" t="s">
        <v>170</v>
      </c>
      <c r="E100" s="20" t="s">
        <v>580</v>
      </c>
      <c r="F100" s="20" t="s">
        <v>581</v>
      </c>
      <c r="G100" s="2">
        <f t="shared" ref="G100:G147" si="3">E100/F100</f>
        <v>0.94589450788471985</v>
      </c>
      <c r="H100" s="20" t="s">
        <v>40</v>
      </c>
    </row>
    <row r="101" spans="1:8" ht="14" customHeight="1" x14ac:dyDescent="0.35">
      <c r="A101" s="20" t="s">
        <v>582</v>
      </c>
      <c r="B101" s="20" t="s">
        <v>33</v>
      </c>
      <c r="C101" s="20" t="s">
        <v>23</v>
      </c>
      <c r="D101" s="20" t="s">
        <v>170</v>
      </c>
      <c r="E101" s="20" t="s">
        <v>583</v>
      </c>
      <c r="F101" s="20" t="s">
        <v>584</v>
      </c>
      <c r="G101" s="19">
        <f t="shared" si="3"/>
        <v>0.98424113714795958</v>
      </c>
      <c r="H101" s="20"/>
    </row>
    <row r="102" spans="1:8" ht="14" customHeight="1" x14ac:dyDescent="0.35">
      <c r="A102" s="20" t="s">
        <v>585</v>
      </c>
      <c r="B102" s="20" t="s">
        <v>33</v>
      </c>
      <c r="C102" s="20" t="s">
        <v>23</v>
      </c>
      <c r="D102" s="20" t="s">
        <v>170</v>
      </c>
      <c r="E102" s="20" t="s">
        <v>586</v>
      </c>
      <c r="F102" s="20" t="s">
        <v>587</v>
      </c>
      <c r="G102" s="19">
        <f t="shared" si="3"/>
        <v>0.98771077450700195</v>
      </c>
      <c r="H102" s="20"/>
    </row>
    <row r="103" spans="1:8" ht="14" customHeight="1" x14ac:dyDescent="0.35">
      <c r="A103" s="20" t="s">
        <v>588</v>
      </c>
      <c r="B103" s="20" t="s">
        <v>33</v>
      </c>
      <c r="C103" s="20" t="s">
        <v>23</v>
      </c>
      <c r="D103" s="20" t="s">
        <v>170</v>
      </c>
      <c r="E103" s="20" t="s">
        <v>589</v>
      </c>
      <c r="F103" s="20" t="s">
        <v>590</v>
      </c>
      <c r="G103" s="19">
        <f t="shared" si="3"/>
        <v>0.98731713072203853</v>
      </c>
      <c r="H103" s="20"/>
    </row>
    <row r="104" spans="1:8" ht="14" customHeight="1" x14ac:dyDescent="0.35">
      <c r="A104" s="20" t="s">
        <v>591</v>
      </c>
      <c r="B104" s="20" t="s">
        <v>33</v>
      </c>
      <c r="C104" s="20" t="s">
        <v>23</v>
      </c>
      <c r="D104" s="20" t="s">
        <v>170</v>
      </c>
      <c r="E104" s="20" t="s">
        <v>592</v>
      </c>
      <c r="F104" s="20" t="s">
        <v>593</v>
      </c>
      <c r="G104" s="19">
        <f t="shared" si="3"/>
        <v>0.98980262128937402</v>
      </c>
      <c r="H104" s="20"/>
    </row>
    <row r="105" spans="1:8" ht="14" customHeight="1" x14ac:dyDescent="0.35">
      <c r="A105" s="20" t="s">
        <v>594</v>
      </c>
      <c r="B105" s="20" t="s">
        <v>33</v>
      </c>
      <c r="C105" s="20" t="s">
        <v>23</v>
      </c>
      <c r="D105" s="20" t="s">
        <v>170</v>
      </c>
      <c r="E105" s="20" t="s">
        <v>595</v>
      </c>
      <c r="F105" s="20" t="s">
        <v>596</v>
      </c>
      <c r="G105" s="19">
        <f t="shared" si="3"/>
        <v>0.95019157088122608</v>
      </c>
      <c r="H105" s="20"/>
    </row>
    <row r="106" spans="1:8" ht="14" customHeight="1" x14ac:dyDescent="0.35">
      <c r="A106" s="20" t="s">
        <v>597</v>
      </c>
      <c r="B106" s="20" t="s">
        <v>33</v>
      </c>
      <c r="C106" s="20" t="s">
        <v>23</v>
      </c>
      <c r="D106" s="20" t="s">
        <v>170</v>
      </c>
      <c r="E106" s="20" t="s">
        <v>598</v>
      </c>
      <c r="F106" s="20" t="s">
        <v>599</v>
      </c>
      <c r="G106" s="19">
        <f t="shared" si="3"/>
        <v>0.99564873417721511</v>
      </c>
      <c r="H106" s="20"/>
    </row>
    <row r="107" spans="1:8" ht="14" customHeight="1" x14ac:dyDescent="0.35">
      <c r="A107" s="20" t="s">
        <v>600</v>
      </c>
      <c r="B107" s="20" t="s">
        <v>33</v>
      </c>
      <c r="C107" s="20" t="s">
        <v>23</v>
      </c>
      <c r="D107" s="20" t="s">
        <v>170</v>
      </c>
      <c r="E107" s="20" t="s">
        <v>601</v>
      </c>
      <c r="F107" s="20" t="s">
        <v>602</v>
      </c>
      <c r="G107" s="19">
        <f t="shared" si="3"/>
        <v>0.99635785709555647</v>
      </c>
      <c r="H107" s="20"/>
    </row>
    <row r="108" spans="1:8" ht="14" customHeight="1" x14ac:dyDescent="0.35">
      <c r="A108" s="20" t="s">
        <v>603</v>
      </c>
      <c r="B108" s="20" t="s">
        <v>33</v>
      </c>
      <c r="C108" s="20" t="s">
        <v>23</v>
      </c>
      <c r="D108" s="20" t="s">
        <v>170</v>
      </c>
      <c r="E108" s="20" t="s">
        <v>604</v>
      </c>
      <c r="F108" s="20" t="s">
        <v>605</v>
      </c>
      <c r="G108" s="19">
        <f t="shared" si="3"/>
        <v>0.98020954598370191</v>
      </c>
      <c r="H108" s="20"/>
    </row>
    <row r="109" spans="1:8" ht="14" customHeight="1" x14ac:dyDescent="0.35">
      <c r="A109" s="20" t="s">
        <v>606</v>
      </c>
      <c r="B109" s="20" t="s">
        <v>33</v>
      </c>
      <c r="C109" s="20" t="s">
        <v>23</v>
      </c>
      <c r="D109" s="20" t="s">
        <v>170</v>
      </c>
      <c r="E109" s="20" t="s">
        <v>607</v>
      </c>
      <c r="F109" s="20" t="s">
        <v>608</v>
      </c>
      <c r="G109" s="19">
        <f t="shared" si="3"/>
        <v>0.97972633061676229</v>
      </c>
      <c r="H109" s="20"/>
    </row>
    <row r="110" spans="1:8" ht="14" customHeight="1" x14ac:dyDescent="0.35">
      <c r="A110" s="20" t="s">
        <v>609</v>
      </c>
      <c r="B110" s="20" t="s">
        <v>33</v>
      </c>
      <c r="C110" s="20" t="s">
        <v>23</v>
      </c>
      <c r="D110" s="20" t="s">
        <v>170</v>
      </c>
      <c r="E110" s="20" t="s">
        <v>610</v>
      </c>
      <c r="F110" s="20" t="s">
        <v>611</v>
      </c>
      <c r="G110" s="19">
        <f t="shared" si="3"/>
        <v>1.0312352996518959</v>
      </c>
      <c r="H110" s="20"/>
    </row>
    <row r="111" spans="1:8" ht="14" customHeight="1" x14ac:dyDescent="0.35">
      <c r="A111" s="20" t="s">
        <v>612</v>
      </c>
      <c r="B111" s="20" t="s">
        <v>33</v>
      </c>
      <c r="C111" s="20" t="s">
        <v>23</v>
      </c>
      <c r="D111" s="20" t="s">
        <v>170</v>
      </c>
      <c r="E111" s="20" t="s">
        <v>613</v>
      </c>
      <c r="F111" s="20" t="s">
        <v>614</v>
      </c>
      <c r="G111" s="2">
        <f t="shared" si="3"/>
        <v>0.91884951206985099</v>
      </c>
      <c r="H111" s="20" t="s">
        <v>40</v>
      </c>
    </row>
    <row r="112" spans="1:8" ht="14" customHeight="1" x14ac:dyDescent="0.35">
      <c r="A112" s="20" t="s">
        <v>615</v>
      </c>
      <c r="B112" s="20" t="s">
        <v>33</v>
      </c>
      <c r="C112" s="20" t="s">
        <v>23</v>
      </c>
      <c r="D112" s="20" t="s">
        <v>58</v>
      </c>
      <c r="E112" s="20" t="s">
        <v>616</v>
      </c>
      <c r="F112" s="20" t="s">
        <v>617</v>
      </c>
      <c r="G112" s="12">
        <f t="shared" si="3"/>
        <v>1.5227018796206055</v>
      </c>
      <c r="H112" s="20" t="s">
        <v>618</v>
      </c>
    </row>
    <row r="113" spans="1:8" ht="14" customHeight="1" x14ac:dyDescent="0.35">
      <c r="A113" s="20" t="s">
        <v>619</v>
      </c>
      <c r="B113" s="20" t="s">
        <v>33</v>
      </c>
      <c r="C113" s="20" t="s">
        <v>23</v>
      </c>
      <c r="D113" s="20" t="s">
        <v>58</v>
      </c>
      <c r="E113" s="20" t="s">
        <v>620</v>
      </c>
      <c r="F113" s="20" t="s">
        <v>621</v>
      </c>
      <c r="G113" s="12">
        <f t="shared" si="3"/>
        <v>1.0873369228552232</v>
      </c>
      <c r="H113" s="20" t="s">
        <v>618</v>
      </c>
    </row>
    <row r="114" spans="1:8" ht="14" customHeight="1" x14ac:dyDescent="0.35">
      <c r="A114" s="20" t="s">
        <v>622</v>
      </c>
      <c r="B114" s="20" t="s">
        <v>33</v>
      </c>
      <c r="C114" s="20" t="s">
        <v>23</v>
      </c>
      <c r="D114" s="20" t="s">
        <v>58</v>
      </c>
      <c r="E114" s="20" t="s">
        <v>623</v>
      </c>
      <c r="F114" s="20" t="s">
        <v>624</v>
      </c>
      <c r="G114" s="19">
        <f t="shared" si="3"/>
        <v>0.98844598497978042</v>
      </c>
      <c r="H114" s="20"/>
    </row>
    <row r="115" spans="1:8" ht="14" customHeight="1" x14ac:dyDescent="0.35">
      <c r="A115" s="20" t="s">
        <v>625</v>
      </c>
      <c r="B115" s="20" t="s">
        <v>33</v>
      </c>
      <c r="C115" s="20" t="s">
        <v>23</v>
      </c>
      <c r="D115" s="20" t="s">
        <v>58</v>
      </c>
      <c r="E115" s="20" t="s">
        <v>626</v>
      </c>
      <c r="F115" s="20" t="s">
        <v>627</v>
      </c>
      <c r="G115" s="19">
        <f t="shared" si="3"/>
        <v>0.9824074074074074</v>
      </c>
      <c r="H115" s="20"/>
    </row>
    <row r="116" spans="1:8" ht="14" customHeight="1" x14ac:dyDescent="0.35">
      <c r="A116" s="20" t="s">
        <v>628</v>
      </c>
      <c r="B116" s="20" t="s">
        <v>33</v>
      </c>
      <c r="C116" s="20" t="s">
        <v>23</v>
      </c>
      <c r="D116" s="20" t="s">
        <v>58</v>
      </c>
      <c r="E116" s="20" t="s">
        <v>629</v>
      </c>
      <c r="F116" s="20" t="s">
        <v>630</v>
      </c>
      <c r="G116" s="2">
        <f t="shared" si="3"/>
        <v>0.94470522244855792</v>
      </c>
      <c r="H116" s="20" t="s">
        <v>40</v>
      </c>
    </row>
    <row r="117" spans="1:8" ht="14" customHeight="1" x14ac:dyDescent="0.35">
      <c r="A117" s="20" t="s">
        <v>631</v>
      </c>
      <c r="B117" s="20" t="s">
        <v>33</v>
      </c>
      <c r="C117" s="20" t="s">
        <v>23</v>
      </c>
      <c r="D117" s="20" t="s">
        <v>58</v>
      </c>
      <c r="E117" s="20" t="s">
        <v>632</v>
      </c>
      <c r="F117" s="20" t="s">
        <v>633</v>
      </c>
      <c r="G117" s="2">
        <f t="shared" si="3"/>
        <v>0.92136325678496878</v>
      </c>
      <c r="H117" s="20" t="s">
        <v>40</v>
      </c>
    </row>
    <row r="118" spans="1:8" ht="14" customHeight="1" x14ac:dyDescent="0.35">
      <c r="A118" s="20" t="s">
        <v>214</v>
      </c>
      <c r="B118" s="20" t="s">
        <v>33</v>
      </c>
      <c r="C118" s="20" t="s">
        <v>23</v>
      </c>
      <c r="D118" s="20" t="s">
        <v>58</v>
      </c>
      <c r="E118" s="20" t="s">
        <v>634</v>
      </c>
      <c r="F118" s="20" t="s">
        <v>216</v>
      </c>
      <c r="G118" s="2">
        <f t="shared" si="3"/>
        <v>1.1192252871635784</v>
      </c>
      <c r="H118" s="20" t="s">
        <v>635</v>
      </c>
    </row>
    <row r="119" spans="1:8" ht="14" customHeight="1" x14ac:dyDescent="0.35">
      <c r="A119" s="20" t="s">
        <v>218</v>
      </c>
      <c r="B119" s="20" t="s">
        <v>33</v>
      </c>
      <c r="C119" s="20" t="s">
        <v>23</v>
      </c>
      <c r="D119" s="20" t="s">
        <v>58</v>
      </c>
      <c r="E119" s="20" t="s">
        <v>636</v>
      </c>
      <c r="F119" s="20" t="s">
        <v>220</v>
      </c>
      <c r="G119" s="19">
        <f t="shared" si="3"/>
        <v>1.0131952005692049</v>
      </c>
      <c r="H119" s="20"/>
    </row>
    <row r="120" spans="1:8" ht="14" customHeight="1" x14ac:dyDescent="0.35">
      <c r="A120" s="20" t="s">
        <v>227</v>
      </c>
      <c r="B120" s="20" t="s">
        <v>33</v>
      </c>
      <c r="C120" s="20" t="s">
        <v>23</v>
      </c>
      <c r="D120" s="20" t="s">
        <v>58</v>
      </c>
      <c r="E120" s="20" t="s">
        <v>637</v>
      </c>
      <c r="F120" s="20" t="s">
        <v>229</v>
      </c>
      <c r="G120" s="19">
        <f t="shared" si="3"/>
        <v>1.0074413279908414</v>
      </c>
      <c r="H120" s="20"/>
    </row>
    <row r="121" spans="1:8" ht="14" customHeight="1" x14ac:dyDescent="0.35">
      <c r="A121" s="20" t="s">
        <v>230</v>
      </c>
      <c r="B121" s="20" t="s">
        <v>33</v>
      </c>
      <c r="C121" s="20" t="s">
        <v>23</v>
      </c>
      <c r="D121" s="20" t="s">
        <v>58</v>
      </c>
      <c r="E121" s="20" t="s">
        <v>638</v>
      </c>
      <c r="F121" s="20" t="s">
        <v>232</v>
      </c>
      <c r="G121" s="19">
        <f t="shared" si="3"/>
        <v>1.0019155585193322</v>
      </c>
      <c r="H121" s="20"/>
    </row>
    <row r="122" spans="1:8" ht="14" customHeight="1" x14ac:dyDescent="0.35">
      <c r="A122" s="20" t="s">
        <v>639</v>
      </c>
      <c r="B122" s="20" t="s">
        <v>33</v>
      </c>
      <c r="C122" s="20" t="s">
        <v>23</v>
      </c>
      <c r="D122" s="20" t="s">
        <v>58</v>
      </c>
      <c r="E122" s="20" t="s">
        <v>640</v>
      </c>
      <c r="F122" s="20" t="s">
        <v>641</v>
      </c>
      <c r="G122" s="19">
        <f t="shared" si="3"/>
        <v>1.0653261851917888</v>
      </c>
      <c r="H122" s="20"/>
    </row>
    <row r="123" spans="1:8" ht="14" customHeight="1" x14ac:dyDescent="0.35">
      <c r="A123" s="20" t="s">
        <v>642</v>
      </c>
      <c r="B123" s="20" t="s">
        <v>33</v>
      </c>
      <c r="C123" s="20" t="s">
        <v>23</v>
      </c>
      <c r="D123" s="20" t="s">
        <v>58</v>
      </c>
      <c r="E123" s="20" t="s">
        <v>643</v>
      </c>
      <c r="F123" s="20" t="s">
        <v>644</v>
      </c>
      <c r="G123" s="2">
        <f t="shared" si="3"/>
        <v>0.85251648299592175</v>
      </c>
      <c r="H123" s="14" t="s">
        <v>645</v>
      </c>
    </row>
    <row r="124" spans="1:8" ht="14" customHeight="1" x14ac:dyDescent="0.35">
      <c r="A124" s="20" t="s">
        <v>646</v>
      </c>
      <c r="B124" s="20" t="s">
        <v>33</v>
      </c>
      <c r="C124" s="20" t="s">
        <v>23</v>
      </c>
      <c r="D124" s="20" t="s">
        <v>58</v>
      </c>
      <c r="E124" s="20" t="s">
        <v>647</v>
      </c>
      <c r="F124" s="20" t="s">
        <v>648</v>
      </c>
      <c r="G124" s="19">
        <f t="shared" si="3"/>
        <v>1.0464602698776566</v>
      </c>
      <c r="H124" s="20"/>
    </row>
    <row r="125" spans="1:8" ht="14" customHeight="1" x14ac:dyDescent="0.35">
      <c r="A125" s="20" t="s">
        <v>649</v>
      </c>
      <c r="B125" s="20" t="s">
        <v>33</v>
      </c>
      <c r="C125" s="20" t="s">
        <v>23</v>
      </c>
      <c r="D125" s="20" t="s">
        <v>58</v>
      </c>
      <c r="E125" s="20" t="s">
        <v>650</v>
      </c>
      <c r="F125" s="20" t="s">
        <v>651</v>
      </c>
      <c r="G125" s="19">
        <f t="shared" si="3"/>
        <v>0.98197357382550343</v>
      </c>
      <c r="H125" s="20"/>
    </row>
    <row r="126" spans="1:8" ht="14" customHeight="1" x14ac:dyDescent="0.35">
      <c r="A126" s="20" t="s">
        <v>652</v>
      </c>
      <c r="B126" s="20" t="s">
        <v>33</v>
      </c>
      <c r="C126" s="20" t="s">
        <v>23</v>
      </c>
      <c r="D126" s="20" t="s">
        <v>58</v>
      </c>
      <c r="E126" s="20" t="s">
        <v>653</v>
      </c>
      <c r="F126" s="20" t="s">
        <v>654</v>
      </c>
      <c r="G126" s="2">
        <f t="shared" si="3"/>
        <v>1.1673684918606215</v>
      </c>
      <c r="H126" s="14" t="s">
        <v>645</v>
      </c>
    </row>
    <row r="127" spans="1:8" ht="14" customHeight="1" x14ac:dyDescent="0.35">
      <c r="A127" s="20" t="s">
        <v>655</v>
      </c>
      <c r="B127" s="20" t="s">
        <v>33</v>
      </c>
      <c r="C127" s="20" t="s">
        <v>23</v>
      </c>
      <c r="D127" s="20" t="s">
        <v>58</v>
      </c>
      <c r="E127" s="20" t="s">
        <v>656</v>
      </c>
      <c r="F127" s="20" t="s">
        <v>657</v>
      </c>
      <c r="G127" s="2">
        <f t="shared" si="3"/>
        <v>1.1336835754044181</v>
      </c>
      <c r="H127" s="14" t="s">
        <v>645</v>
      </c>
    </row>
    <row r="128" spans="1:8" ht="14" customHeight="1" x14ac:dyDescent="0.35">
      <c r="A128" s="20" t="s">
        <v>658</v>
      </c>
      <c r="B128" s="20" t="s">
        <v>33</v>
      </c>
      <c r="C128" s="20" t="s">
        <v>23</v>
      </c>
      <c r="D128" s="20" t="s">
        <v>58</v>
      </c>
      <c r="E128" s="20" t="s">
        <v>659</v>
      </c>
      <c r="F128" s="20" t="s">
        <v>660</v>
      </c>
      <c r="G128" s="2">
        <f t="shared" si="3"/>
        <v>1.0684612801397004</v>
      </c>
      <c r="H128" s="14" t="s">
        <v>645</v>
      </c>
    </row>
    <row r="129" spans="1:8" ht="14" customHeight="1" x14ac:dyDescent="0.35">
      <c r="A129" s="20" t="s">
        <v>661</v>
      </c>
      <c r="B129" s="20" t="s">
        <v>33</v>
      </c>
      <c r="C129" s="20" t="s">
        <v>23</v>
      </c>
      <c r="D129" s="20" t="s">
        <v>58</v>
      </c>
      <c r="E129" s="20" t="s">
        <v>662</v>
      </c>
      <c r="F129" s="20" t="s">
        <v>663</v>
      </c>
      <c r="G129" s="2">
        <f t="shared" si="3"/>
        <v>1.0575690678783463</v>
      </c>
      <c r="H129" s="14" t="s">
        <v>645</v>
      </c>
    </row>
    <row r="130" spans="1:8" ht="14" customHeight="1" x14ac:dyDescent="0.35">
      <c r="A130" s="20" t="s">
        <v>664</v>
      </c>
      <c r="B130" s="20" t="s">
        <v>33</v>
      </c>
      <c r="C130" s="20" t="s">
        <v>23</v>
      </c>
      <c r="D130" s="20" t="s">
        <v>58</v>
      </c>
      <c r="E130" s="20" t="s">
        <v>665</v>
      </c>
      <c r="F130" s="20" t="s">
        <v>666</v>
      </c>
      <c r="G130" s="19">
        <f t="shared" si="3"/>
        <v>1.0145056785585136</v>
      </c>
      <c r="H130" s="20"/>
    </row>
    <row r="131" spans="1:8" ht="14" customHeight="1" x14ac:dyDescent="0.35">
      <c r="A131" s="20" t="s">
        <v>667</v>
      </c>
      <c r="B131" s="20" t="s">
        <v>33</v>
      </c>
      <c r="C131" s="20" t="s">
        <v>23</v>
      </c>
      <c r="D131" s="20" t="s">
        <v>58</v>
      </c>
      <c r="E131" s="20" t="s">
        <v>668</v>
      </c>
      <c r="F131" s="20" t="s">
        <v>669</v>
      </c>
      <c r="G131" s="19">
        <f t="shared" si="3"/>
        <v>1.041103030362075</v>
      </c>
      <c r="H131" s="20"/>
    </row>
    <row r="132" spans="1:8" ht="14" customHeight="1" x14ac:dyDescent="0.35">
      <c r="A132" s="20" t="s">
        <v>670</v>
      </c>
      <c r="B132" s="20" t="s">
        <v>33</v>
      </c>
      <c r="C132" s="20" t="s">
        <v>23</v>
      </c>
      <c r="D132" s="20" t="s">
        <v>58</v>
      </c>
      <c r="E132" s="20" t="s">
        <v>671</v>
      </c>
      <c r="F132" s="20" t="s">
        <v>672</v>
      </c>
      <c r="G132" s="2">
        <f t="shared" si="3"/>
        <v>1.1830397946417575</v>
      </c>
      <c r="H132" s="14" t="s">
        <v>645</v>
      </c>
    </row>
    <row r="133" spans="1:8" ht="14" customHeight="1" x14ac:dyDescent="0.35">
      <c r="A133" s="20" t="s">
        <v>673</v>
      </c>
      <c r="B133" s="20" t="s">
        <v>33</v>
      </c>
      <c r="C133" s="20" t="s">
        <v>23</v>
      </c>
      <c r="D133" s="20" t="s">
        <v>58</v>
      </c>
      <c r="E133" s="20" t="s">
        <v>674</v>
      </c>
      <c r="F133" s="20" t="s">
        <v>675</v>
      </c>
      <c r="G133" s="2">
        <f t="shared" si="3"/>
        <v>1.1290655020942917</v>
      </c>
      <c r="H133" s="14" t="s">
        <v>645</v>
      </c>
    </row>
    <row r="134" spans="1:8" ht="14" customHeight="1" x14ac:dyDescent="0.35">
      <c r="A134" s="20" t="s">
        <v>676</v>
      </c>
      <c r="B134" s="20" t="s">
        <v>33</v>
      </c>
      <c r="C134" s="20" t="s">
        <v>23</v>
      </c>
      <c r="D134" s="20" t="s">
        <v>58</v>
      </c>
      <c r="E134" s="20" t="s">
        <v>677</v>
      </c>
      <c r="F134" s="20" t="s">
        <v>678</v>
      </c>
      <c r="G134" s="2">
        <f t="shared" si="3"/>
        <v>1.0884003777148252</v>
      </c>
      <c r="H134" s="14" t="s">
        <v>645</v>
      </c>
    </row>
    <row r="135" spans="1:8" ht="14" customHeight="1" x14ac:dyDescent="0.35">
      <c r="A135" s="20" t="s">
        <v>679</v>
      </c>
      <c r="B135" s="20" t="s">
        <v>33</v>
      </c>
      <c r="C135" s="20" t="s">
        <v>23</v>
      </c>
      <c r="D135" s="20" t="s">
        <v>58</v>
      </c>
      <c r="E135" s="20" t="s">
        <v>680</v>
      </c>
      <c r="F135" s="20" t="s">
        <v>681</v>
      </c>
      <c r="G135" s="2">
        <f t="shared" si="3"/>
        <v>1.3168275718883009</v>
      </c>
      <c r="H135" s="14" t="s">
        <v>645</v>
      </c>
    </row>
    <row r="136" spans="1:8" ht="14" customHeight="1" x14ac:dyDescent="0.35">
      <c r="A136" s="20" t="s">
        <v>682</v>
      </c>
      <c r="B136" s="20" t="s">
        <v>33</v>
      </c>
      <c r="C136" s="20" t="s">
        <v>23</v>
      </c>
      <c r="D136" s="20" t="s">
        <v>58</v>
      </c>
      <c r="E136" s="20" t="s">
        <v>683</v>
      </c>
      <c r="F136" s="20" t="s">
        <v>684</v>
      </c>
      <c r="G136" s="19">
        <f t="shared" si="3"/>
        <v>1.0340648949935305</v>
      </c>
      <c r="H136" s="20"/>
    </row>
    <row r="137" spans="1:8" ht="14" customHeight="1" x14ac:dyDescent="0.35">
      <c r="A137" s="20" t="s">
        <v>685</v>
      </c>
      <c r="B137" s="20" t="s">
        <v>33</v>
      </c>
      <c r="C137" s="20" t="s">
        <v>23</v>
      </c>
      <c r="D137" s="20" t="s">
        <v>58</v>
      </c>
      <c r="E137" s="20" t="s">
        <v>686</v>
      </c>
      <c r="F137" s="20" t="s">
        <v>687</v>
      </c>
      <c r="G137" s="12">
        <f t="shared" si="3"/>
        <v>1.0646284070171923</v>
      </c>
      <c r="H137" s="20" t="s">
        <v>688</v>
      </c>
    </row>
    <row r="138" spans="1:8" ht="14" customHeight="1" x14ac:dyDescent="0.35">
      <c r="A138" s="20" t="s">
        <v>689</v>
      </c>
      <c r="B138" s="20" t="s">
        <v>33</v>
      </c>
      <c r="C138" s="20" t="s">
        <v>23</v>
      </c>
      <c r="D138" s="20" t="s">
        <v>58</v>
      </c>
      <c r="E138" s="20" t="s">
        <v>690</v>
      </c>
      <c r="F138" s="20" t="s">
        <v>691</v>
      </c>
      <c r="G138" s="19">
        <f t="shared" si="3"/>
        <v>1.0079611841869467</v>
      </c>
      <c r="H138" s="20"/>
    </row>
    <row r="139" spans="1:8" ht="14" customHeight="1" x14ac:dyDescent="0.35">
      <c r="A139" s="20" t="s">
        <v>692</v>
      </c>
      <c r="B139" s="20" t="s">
        <v>33</v>
      </c>
      <c r="C139" s="20" t="s">
        <v>23</v>
      </c>
      <c r="D139" s="20" t="s">
        <v>58</v>
      </c>
      <c r="E139" s="20" t="s">
        <v>693</v>
      </c>
      <c r="F139" s="20" t="s">
        <v>694</v>
      </c>
      <c r="G139" s="12">
        <f t="shared" si="3"/>
        <v>1.1125051194539248</v>
      </c>
      <c r="H139" s="20" t="s">
        <v>688</v>
      </c>
    </row>
    <row r="140" spans="1:8" ht="14" customHeight="1" x14ac:dyDescent="0.35">
      <c r="A140" s="20" t="s">
        <v>695</v>
      </c>
      <c r="B140" s="20" t="s">
        <v>33</v>
      </c>
      <c r="C140" s="20" t="s">
        <v>23</v>
      </c>
      <c r="D140" s="20" t="s">
        <v>34</v>
      </c>
      <c r="E140" s="20" t="s">
        <v>696</v>
      </c>
      <c r="F140" s="20" t="s">
        <v>697</v>
      </c>
      <c r="G140" s="2">
        <f t="shared" si="3"/>
        <v>1.0799999999999998</v>
      </c>
      <c r="H140" s="20" t="s">
        <v>550</v>
      </c>
    </row>
    <row r="141" spans="1:8" ht="14" customHeight="1" x14ac:dyDescent="0.35">
      <c r="A141" s="20" t="s">
        <v>698</v>
      </c>
      <c r="B141" s="20" t="s">
        <v>33</v>
      </c>
      <c r="C141" s="20" t="s">
        <v>23</v>
      </c>
      <c r="D141" s="20" t="s">
        <v>34</v>
      </c>
      <c r="E141" s="20" t="s">
        <v>699</v>
      </c>
      <c r="F141" s="20" t="s">
        <v>700</v>
      </c>
      <c r="G141" s="19">
        <f t="shared" si="3"/>
        <v>0.98896690070210636</v>
      </c>
      <c r="H141" s="20"/>
    </row>
    <row r="142" spans="1:8" ht="14" customHeight="1" x14ac:dyDescent="0.35">
      <c r="A142" s="20" t="s">
        <v>701</v>
      </c>
      <c r="B142" s="20" t="s">
        <v>33</v>
      </c>
      <c r="C142" s="20" t="s">
        <v>23</v>
      </c>
      <c r="D142" s="20" t="s">
        <v>34</v>
      </c>
      <c r="E142" s="20" t="s">
        <v>702</v>
      </c>
      <c r="F142" s="20" t="s">
        <v>45</v>
      </c>
      <c r="G142" s="2">
        <f t="shared" si="3"/>
        <v>1.075091575091575</v>
      </c>
      <c r="H142" s="20" t="s">
        <v>550</v>
      </c>
    </row>
    <row r="143" spans="1:8" ht="14" customHeight="1" x14ac:dyDescent="0.35">
      <c r="A143" s="20" t="s">
        <v>703</v>
      </c>
      <c r="B143" s="20" t="s">
        <v>33</v>
      </c>
      <c r="C143" s="20" t="s">
        <v>23</v>
      </c>
      <c r="D143" s="20" t="s">
        <v>34</v>
      </c>
      <c r="E143" s="20" t="s">
        <v>704</v>
      </c>
      <c r="F143" s="20" t="s">
        <v>705</v>
      </c>
      <c r="G143" s="19">
        <f t="shared" si="3"/>
        <v>0.96</v>
      </c>
      <c r="H143" s="20"/>
    </row>
    <row r="144" spans="1:8" ht="14" customHeight="1" x14ac:dyDescent="0.35">
      <c r="A144" s="20" t="s">
        <v>706</v>
      </c>
      <c r="B144" s="20" t="s">
        <v>33</v>
      </c>
      <c r="C144" s="20" t="s">
        <v>23</v>
      </c>
      <c r="D144" s="20" t="s">
        <v>34</v>
      </c>
      <c r="E144" s="20" t="s">
        <v>504</v>
      </c>
      <c r="F144" s="20" t="s">
        <v>707</v>
      </c>
      <c r="G144" s="19">
        <f t="shared" si="3"/>
        <v>1.0465116279069768</v>
      </c>
      <c r="H144" s="20"/>
    </row>
    <row r="145" spans="1:8" ht="14" customHeight="1" x14ac:dyDescent="0.35">
      <c r="A145" s="20" t="s">
        <v>708</v>
      </c>
      <c r="B145" s="20" t="s">
        <v>33</v>
      </c>
      <c r="C145" s="20" t="s">
        <v>23</v>
      </c>
      <c r="D145" s="20" t="s">
        <v>34</v>
      </c>
      <c r="E145" s="20" t="s">
        <v>709</v>
      </c>
      <c r="F145" s="20" t="s">
        <v>710</v>
      </c>
      <c r="G145" s="19">
        <f t="shared" si="3"/>
        <v>1.0246913580246915</v>
      </c>
      <c r="H145" s="20"/>
    </row>
    <row r="146" spans="1:8" ht="14" customHeight="1" x14ac:dyDescent="0.35">
      <c r="A146" s="20" t="s">
        <v>711</v>
      </c>
      <c r="B146" s="20" t="s">
        <v>33</v>
      </c>
      <c r="C146" s="20" t="s">
        <v>23</v>
      </c>
      <c r="D146" s="20" t="s">
        <v>34</v>
      </c>
      <c r="E146" s="20" t="s">
        <v>712</v>
      </c>
      <c r="F146" s="20" t="s">
        <v>713</v>
      </c>
      <c r="G146" s="19">
        <f t="shared" si="3"/>
        <v>0.98799999999999999</v>
      </c>
      <c r="H146" s="20"/>
    </row>
    <row r="147" spans="1:8" ht="14" customHeight="1" x14ac:dyDescent="0.35">
      <c r="A147" s="20" t="s">
        <v>269</v>
      </c>
      <c r="B147" s="20" t="s">
        <v>33</v>
      </c>
      <c r="C147" s="20" t="s">
        <v>23</v>
      </c>
      <c r="D147" s="20" t="s">
        <v>58</v>
      </c>
      <c r="E147" s="20" t="s">
        <v>714</v>
      </c>
      <c r="F147" s="20" t="s">
        <v>271</v>
      </c>
      <c r="G147" s="19">
        <f t="shared" si="3"/>
        <v>0.96354166666666663</v>
      </c>
      <c r="H147" s="20"/>
    </row>
    <row r="154" spans="1:8" ht="14" customHeight="1" x14ac:dyDescent="0.35">
      <c r="A154" s="36" t="s">
        <v>273</v>
      </c>
      <c r="B154" s="20"/>
      <c r="C154" s="20"/>
      <c r="D154" s="20"/>
      <c r="E154" s="20"/>
      <c r="F154" s="20"/>
      <c r="G154" s="20"/>
      <c r="H154" s="20"/>
    </row>
    <row r="155" spans="1:8" ht="14" customHeight="1" x14ac:dyDescent="0.35">
      <c r="A155" s="36" t="s">
        <v>24</v>
      </c>
      <c r="B155" s="36" t="s">
        <v>25</v>
      </c>
      <c r="C155" s="36" t="s">
        <v>26</v>
      </c>
      <c r="D155" s="36" t="s">
        <v>27</v>
      </c>
      <c r="E155" s="36" t="s">
        <v>28</v>
      </c>
      <c r="F155" s="36" t="s">
        <v>29</v>
      </c>
      <c r="G155" s="36" t="s">
        <v>30</v>
      </c>
      <c r="H155" s="36" t="s">
        <v>31</v>
      </c>
    </row>
    <row r="156" spans="1:8" ht="14" customHeight="1" x14ac:dyDescent="0.35">
      <c r="A156" s="20" t="s">
        <v>715</v>
      </c>
      <c r="B156" s="20" t="s">
        <v>33</v>
      </c>
      <c r="C156" s="20" t="s">
        <v>273</v>
      </c>
      <c r="D156" s="20" t="s">
        <v>716</v>
      </c>
      <c r="E156" s="20" t="s">
        <v>717</v>
      </c>
      <c r="F156" s="20" t="s">
        <v>718</v>
      </c>
      <c r="G156" s="19">
        <f t="shared" ref="G156:G186" si="4">E156/F156</f>
        <v>1.0120779577271479</v>
      </c>
      <c r="H156" s="20"/>
    </row>
    <row r="157" spans="1:8" ht="14" customHeight="1" x14ac:dyDescent="0.35">
      <c r="A157" s="20" t="s">
        <v>719</v>
      </c>
      <c r="B157" s="20" t="s">
        <v>33</v>
      </c>
      <c r="C157" s="20" t="s">
        <v>273</v>
      </c>
      <c r="D157" s="20" t="s">
        <v>716</v>
      </c>
      <c r="E157" s="20" t="s">
        <v>720</v>
      </c>
      <c r="F157" s="20" t="s">
        <v>721</v>
      </c>
      <c r="G157" s="19">
        <f t="shared" si="4"/>
        <v>0.96126017485679827</v>
      </c>
      <c r="H157" s="20"/>
    </row>
    <row r="158" spans="1:8" ht="14" customHeight="1" x14ac:dyDescent="0.35">
      <c r="A158" s="20" t="s">
        <v>722</v>
      </c>
      <c r="B158" s="20" t="s">
        <v>33</v>
      </c>
      <c r="C158" s="20" t="s">
        <v>273</v>
      </c>
      <c r="D158" s="20" t="s">
        <v>716</v>
      </c>
      <c r="E158" s="20" t="s">
        <v>723</v>
      </c>
      <c r="F158" s="20" t="s">
        <v>724</v>
      </c>
      <c r="G158" s="19">
        <f t="shared" si="4"/>
        <v>0.99726884628642642</v>
      </c>
      <c r="H158" s="20"/>
    </row>
    <row r="159" spans="1:8" ht="14" customHeight="1" x14ac:dyDescent="0.35">
      <c r="A159" s="20" t="s">
        <v>725</v>
      </c>
      <c r="B159" s="20" t="s">
        <v>33</v>
      </c>
      <c r="C159" s="20" t="s">
        <v>273</v>
      </c>
      <c r="D159" s="20" t="s">
        <v>716</v>
      </c>
      <c r="E159" s="20" t="s">
        <v>726</v>
      </c>
      <c r="F159" s="20" t="s">
        <v>727</v>
      </c>
      <c r="G159" s="19">
        <f t="shared" si="4"/>
        <v>0.99495444989488435</v>
      </c>
      <c r="H159" s="20"/>
    </row>
    <row r="160" spans="1:8" ht="14" customHeight="1" x14ac:dyDescent="0.35">
      <c r="A160" s="20" t="s">
        <v>728</v>
      </c>
      <c r="B160" s="20" t="s">
        <v>33</v>
      </c>
      <c r="C160" s="20" t="s">
        <v>273</v>
      </c>
      <c r="D160" s="20" t="s">
        <v>716</v>
      </c>
      <c r="E160" s="20" t="s">
        <v>729</v>
      </c>
      <c r="F160" s="20" t="s">
        <v>730</v>
      </c>
      <c r="G160" s="19">
        <f t="shared" si="4"/>
        <v>0.98058911361476842</v>
      </c>
      <c r="H160" s="20"/>
    </row>
    <row r="161" spans="1:8" ht="14" customHeight="1" x14ac:dyDescent="0.35">
      <c r="A161" s="20" t="s">
        <v>731</v>
      </c>
      <c r="B161" s="20" t="s">
        <v>33</v>
      </c>
      <c r="C161" s="20" t="s">
        <v>273</v>
      </c>
      <c r="D161" s="20" t="s">
        <v>716</v>
      </c>
      <c r="E161" s="20" t="s">
        <v>732</v>
      </c>
      <c r="F161" s="20" t="s">
        <v>733</v>
      </c>
      <c r="G161" s="19">
        <f t="shared" si="4"/>
        <v>1.001038961038961</v>
      </c>
      <c r="H161" s="20"/>
    </row>
    <row r="162" spans="1:8" ht="14" customHeight="1" x14ac:dyDescent="0.35">
      <c r="A162" s="20" t="s">
        <v>734</v>
      </c>
      <c r="B162" s="20" t="s">
        <v>33</v>
      </c>
      <c r="C162" s="20" t="s">
        <v>273</v>
      </c>
      <c r="D162" s="20" t="s">
        <v>716</v>
      </c>
      <c r="E162" s="20" t="s">
        <v>735</v>
      </c>
      <c r="F162" s="20" t="s">
        <v>736</v>
      </c>
      <c r="G162" s="19">
        <f t="shared" si="4"/>
        <v>1.0111320877547034</v>
      </c>
      <c r="H162" s="20"/>
    </row>
    <row r="163" spans="1:8" ht="14" customHeight="1" x14ac:dyDescent="0.35">
      <c r="A163" s="20" t="s">
        <v>737</v>
      </c>
      <c r="B163" s="20" t="s">
        <v>33</v>
      </c>
      <c r="C163" s="20" t="s">
        <v>273</v>
      </c>
      <c r="D163" s="20" t="s">
        <v>716</v>
      </c>
      <c r="E163" s="20" t="s">
        <v>738</v>
      </c>
      <c r="F163" s="20" t="s">
        <v>739</v>
      </c>
      <c r="G163" s="19">
        <f t="shared" si="4"/>
        <v>0.99611607797156676</v>
      </c>
      <c r="H163" s="20"/>
    </row>
    <row r="164" spans="1:8" ht="14" customHeight="1" x14ac:dyDescent="0.35">
      <c r="A164" s="20" t="s">
        <v>740</v>
      </c>
      <c r="B164" s="20" t="s">
        <v>33</v>
      </c>
      <c r="C164" s="20" t="s">
        <v>273</v>
      </c>
      <c r="D164" s="20" t="s">
        <v>716</v>
      </c>
      <c r="E164" s="20" t="s">
        <v>741</v>
      </c>
      <c r="F164" s="20" t="s">
        <v>742</v>
      </c>
      <c r="G164" s="19">
        <f t="shared" si="4"/>
        <v>0.97540567951318458</v>
      </c>
      <c r="H164" s="20"/>
    </row>
    <row r="165" spans="1:8" ht="14" customHeight="1" x14ac:dyDescent="0.35">
      <c r="A165" s="20" t="s">
        <v>743</v>
      </c>
      <c r="B165" s="20" t="s">
        <v>33</v>
      </c>
      <c r="C165" s="20" t="s">
        <v>273</v>
      </c>
      <c r="D165" s="20" t="s">
        <v>716</v>
      </c>
      <c r="E165" s="20" t="s">
        <v>744</v>
      </c>
      <c r="F165" s="20" t="s">
        <v>745</v>
      </c>
      <c r="G165" s="19">
        <f t="shared" si="4"/>
        <v>0.97781670450294966</v>
      </c>
      <c r="H165" s="20"/>
    </row>
    <row r="166" spans="1:8" ht="14" customHeight="1" x14ac:dyDescent="0.35">
      <c r="A166" s="20" t="s">
        <v>746</v>
      </c>
      <c r="B166" s="20" t="s">
        <v>33</v>
      </c>
      <c r="C166" s="20" t="s">
        <v>273</v>
      </c>
      <c r="D166" s="20" t="s">
        <v>716</v>
      </c>
      <c r="E166" s="20" t="s">
        <v>747</v>
      </c>
      <c r="F166" s="20" t="s">
        <v>748</v>
      </c>
      <c r="G166" s="19">
        <f t="shared" si="4"/>
        <v>0.99714457655283761</v>
      </c>
      <c r="H166" s="20"/>
    </row>
    <row r="167" spans="1:8" ht="14" customHeight="1" x14ac:dyDescent="0.35">
      <c r="A167" s="20" t="s">
        <v>749</v>
      </c>
      <c r="B167" s="20" t="s">
        <v>33</v>
      </c>
      <c r="C167" s="20" t="s">
        <v>273</v>
      </c>
      <c r="D167" s="20" t="s">
        <v>716</v>
      </c>
      <c r="E167" s="20" t="s">
        <v>750</v>
      </c>
      <c r="F167" s="20" t="s">
        <v>751</v>
      </c>
      <c r="G167" s="19">
        <f t="shared" si="4"/>
        <v>0.99587615670276319</v>
      </c>
      <c r="H167" s="20"/>
    </row>
    <row r="168" spans="1:8" ht="14" customHeight="1" x14ac:dyDescent="0.35">
      <c r="A168" s="20" t="s">
        <v>752</v>
      </c>
      <c r="B168" s="20" t="s">
        <v>33</v>
      </c>
      <c r="C168" s="20" t="s">
        <v>273</v>
      </c>
      <c r="D168" s="20" t="s">
        <v>716</v>
      </c>
      <c r="E168" s="20" t="s">
        <v>753</v>
      </c>
      <c r="F168" s="20" t="s">
        <v>754</v>
      </c>
      <c r="G168" s="19">
        <f t="shared" si="4"/>
        <v>0.9957457318091899</v>
      </c>
      <c r="H168" s="20"/>
    </row>
    <row r="169" spans="1:8" ht="14" customHeight="1" x14ac:dyDescent="0.35">
      <c r="A169" s="20" t="s">
        <v>755</v>
      </c>
      <c r="B169" s="20" t="s">
        <v>33</v>
      </c>
      <c r="C169" s="20" t="s">
        <v>273</v>
      </c>
      <c r="D169" s="20" t="s">
        <v>716</v>
      </c>
      <c r="E169" s="20" t="s">
        <v>756</v>
      </c>
      <c r="F169" s="20" t="s">
        <v>757</v>
      </c>
      <c r="G169" s="19">
        <f t="shared" si="4"/>
        <v>0.99173855710722414</v>
      </c>
      <c r="H169" s="20"/>
    </row>
    <row r="170" spans="1:8" ht="14" customHeight="1" x14ac:dyDescent="0.35">
      <c r="A170" s="20" t="s">
        <v>758</v>
      </c>
      <c r="B170" s="20" t="s">
        <v>33</v>
      </c>
      <c r="C170" s="20" t="s">
        <v>273</v>
      </c>
      <c r="D170" s="20" t="s">
        <v>716</v>
      </c>
      <c r="E170" s="20" t="s">
        <v>759</v>
      </c>
      <c r="F170" s="20" t="s">
        <v>760</v>
      </c>
      <c r="G170" s="19">
        <f t="shared" si="4"/>
        <v>0.99651081646894624</v>
      </c>
      <c r="H170" s="20"/>
    </row>
    <row r="171" spans="1:8" ht="14" customHeight="1" x14ac:dyDescent="0.35">
      <c r="A171" s="20" t="s">
        <v>761</v>
      </c>
      <c r="B171" s="20" t="s">
        <v>33</v>
      </c>
      <c r="C171" s="20" t="s">
        <v>273</v>
      </c>
      <c r="D171" s="20" t="s">
        <v>716</v>
      </c>
      <c r="E171" s="20" t="s">
        <v>762</v>
      </c>
      <c r="F171" s="20" t="s">
        <v>763</v>
      </c>
      <c r="G171" s="19">
        <f t="shared" si="4"/>
        <v>1.0377578824445308</v>
      </c>
      <c r="H171" s="20"/>
    </row>
    <row r="172" spans="1:8" ht="14" customHeight="1" x14ac:dyDescent="0.35">
      <c r="A172" s="20" t="s">
        <v>764</v>
      </c>
      <c r="B172" s="20" t="s">
        <v>33</v>
      </c>
      <c r="C172" s="20" t="s">
        <v>273</v>
      </c>
      <c r="D172" s="20" t="s">
        <v>716</v>
      </c>
      <c r="E172" s="20" t="s">
        <v>760</v>
      </c>
      <c r="F172" s="20" t="s">
        <v>765</v>
      </c>
      <c r="G172" s="19">
        <f t="shared" si="4"/>
        <v>1.0049088359046283</v>
      </c>
      <c r="H172" s="20"/>
    </row>
    <row r="173" spans="1:8" ht="14" customHeight="1" x14ac:dyDescent="0.35">
      <c r="A173" s="20" t="s">
        <v>766</v>
      </c>
      <c r="B173" s="20" t="s">
        <v>33</v>
      </c>
      <c r="C173" s="20" t="s">
        <v>273</v>
      </c>
      <c r="D173" s="20" t="s">
        <v>716</v>
      </c>
      <c r="E173" s="20" t="s">
        <v>767</v>
      </c>
      <c r="F173" s="20" t="s">
        <v>768</v>
      </c>
      <c r="G173" s="19">
        <f t="shared" si="4"/>
        <v>0.99106823865666305</v>
      </c>
      <c r="H173" s="20"/>
    </row>
    <row r="174" spans="1:8" ht="14" customHeight="1" x14ac:dyDescent="0.35">
      <c r="A174" s="37" t="s">
        <v>291</v>
      </c>
      <c r="B174" s="20" t="s">
        <v>33</v>
      </c>
      <c r="C174" s="20" t="s">
        <v>273</v>
      </c>
      <c r="D174" s="20" t="s">
        <v>292</v>
      </c>
      <c r="E174" s="20" t="s">
        <v>769</v>
      </c>
      <c r="F174" s="20" t="s">
        <v>770</v>
      </c>
      <c r="G174" s="2">
        <f t="shared" si="4"/>
        <v>0.44755643317060095</v>
      </c>
      <c r="H174" s="20" t="s">
        <v>295</v>
      </c>
    </row>
    <row r="175" spans="1:8" ht="14" customHeight="1" x14ac:dyDescent="0.35">
      <c r="A175" s="21" t="s">
        <v>296</v>
      </c>
      <c r="B175" s="20" t="s">
        <v>33</v>
      </c>
      <c r="C175" s="20" t="s">
        <v>273</v>
      </c>
      <c r="D175" s="20" t="s">
        <v>292</v>
      </c>
      <c r="E175" s="20" t="s">
        <v>771</v>
      </c>
      <c r="F175" s="20" t="s">
        <v>772</v>
      </c>
      <c r="G175" s="2">
        <f t="shared" si="4"/>
        <v>0.30448715831842138</v>
      </c>
      <c r="H175" s="20" t="s">
        <v>295</v>
      </c>
    </row>
    <row r="176" spans="1:8" ht="14" customHeight="1" x14ac:dyDescent="0.35">
      <c r="A176" s="20" t="s">
        <v>773</v>
      </c>
      <c r="B176" s="20" t="s">
        <v>485</v>
      </c>
      <c r="C176" s="20" t="s">
        <v>273</v>
      </c>
      <c r="D176" s="20" t="s">
        <v>716</v>
      </c>
      <c r="E176" s="20" t="s">
        <v>774</v>
      </c>
      <c r="F176" s="20" t="s">
        <v>775</v>
      </c>
      <c r="G176" s="19">
        <f t="shared" si="4"/>
        <v>1.0181755829903978</v>
      </c>
      <c r="H176" s="20"/>
    </row>
    <row r="177" spans="1:8" ht="14" customHeight="1" x14ac:dyDescent="0.35">
      <c r="A177" s="20" t="s">
        <v>773</v>
      </c>
      <c r="B177" s="20" t="s">
        <v>489</v>
      </c>
      <c r="C177" s="20" t="s">
        <v>273</v>
      </c>
      <c r="D177" s="20" t="s">
        <v>716</v>
      </c>
      <c r="E177" s="20" t="s">
        <v>776</v>
      </c>
      <c r="F177" s="20">
        <v>2.976</v>
      </c>
      <c r="G177" s="19">
        <f t="shared" si="4"/>
        <v>1.0036962365591398</v>
      </c>
      <c r="H177" s="20"/>
    </row>
    <row r="178" spans="1:8" ht="14" customHeight="1" x14ac:dyDescent="0.35">
      <c r="A178" s="20" t="s">
        <v>777</v>
      </c>
      <c r="B178" s="20" t="s">
        <v>485</v>
      </c>
      <c r="C178" s="20" t="s">
        <v>273</v>
      </c>
      <c r="D178" s="20" t="s">
        <v>716</v>
      </c>
      <c r="E178" s="20" t="s">
        <v>778</v>
      </c>
      <c r="F178" s="20" t="s">
        <v>779</v>
      </c>
      <c r="G178" s="19">
        <f t="shared" si="4"/>
        <v>1.0426701858572529</v>
      </c>
      <c r="H178" s="20"/>
    </row>
    <row r="179" spans="1:8" ht="14" customHeight="1" x14ac:dyDescent="0.35">
      <c r="A179" s="20" t="s">
        <v>777</v>
      </c>
      <c r="B179" s="20" t="s">
        <v>489</v>
      </c>
      <c r="C179" s="20" t="s">
        <v>273</v>
      </c>
      <c r="D179" s="20" t="s">
        <v>716</v>
      </c>
      <c r="E179" s="20" t="s">
        <v>780</v>
      </c>
      <c r="F179" s="20">
        <v>9.2279999999999998</v>
      </c>
      <c r="G179" s="19">
        <f t="shared" si="4"/>
        <v>1.0273081924577374</v>
      </c>
      <c r="H179" s="20"/>
    </row>
    <row r="180" spans="1:8" ht="14" customHeight="1" x14ac:dyDescent="0.35">
      <c r="A180" s="20" t="s">
        <v>299</v>
      </c>
      <c r="B180" s="20" t="s">
        <v>300</v>
      </c>
      <c r="C180" s="20" t="s">
        <v>273</v>
      </c>
      <c r="D180" s="20" t="s">
        <v>301</v>
      </c>
      <c r="E180" s="20" t="s">
        <v>302</v>
      </c>
      <c r="F180" s="14" t="s">
        <v>302</v>
      </c>
      <c r="G180" s="19">
        <f t="shared" si="4"/>
        <v>1</v>
      </c>
      <c r="H180" s="20"/>
    </row>
    <row r="181" spans="1:8" ht="14" customHeight="1" x14ac:dyDescent="0.35">
      <c r="A181" s="20" t="s">
        <v>303</v>
      </c>
      <c r="B181" s="20" t="s">
        <v>300</v>
      </c>
      <c r="C181" s="20" t="s">
        <v>273</v>
      </c>
      <c r="D181" s="20" t="s">
        <v>301</v>
      </c>
      <c r="E181" s="20">
        <v>5265</v>
      </c>
      <c r="F181" s="14" t="s">
        <v>304</v>
      </c>
      <c r="G181" s="19">
        <f t="shared" si="4"/>
        <v>1</v>
      </c>
      <c r="H181" s="20"/>
    </row>
    <row r="182" spans="1:8" ht="14" customHeight="1" x14ac:dyDescent="0.35">
      <c r="A182" s="20" t="s">
        <v>781</v>
      </c>
      <c r="B182" s="20" t="s">
        <v>33</v>
      </c>
      <c r="C182" s="20" t="s">
        <v>273</v>
      </c>
      <c r="D182" s="20" t="s">
        <v>782</v>
      </c>
      <c r="E182" s="20" t="s">
        <v>783</v>
      </c>
      <c r="F182" s="20" t="s">
        <v>784</v>
      </c>
      <c r="G182" s="12">
        <f t="shared" si="4"/>
        <v>0.99437208190181348</v>
      </c>
      <c r="H182" s="14" t="s">
        <v>785</v>
      </c>
    </row>
    <row r="183" spans="1:8" ht="14" customHeight="1" x14ac:dyDescent="0.35">
      <c r="A183" s="20" t="s">
        <v>786</v>
      </c>
      <c r="B183" s="20" t="s">
        <v>33</v>
      </c>
      <c r="C183" s="20" t="s">
        <v>273</v>
      </c>
      <c r="D183" s="20" t="s">
        <v>782</v>
      </c>
      <c r="E183" s="20" t="s">
        <v>787</v>
      </c>
      <c r="F183" s="20" t="s">
        <v>788</v>
      </c>
      <c r="G183" s="19">
        <f t="shared" si="4"/>
        <v>1.0002184800798437</v>
      </c>
      <c r="H183" s="20"/>
    </row>
    <row r="184" spans="1:8" ht="14" customHeight="1" x14ac:dyDescent="0.35">
      <c r="A184" s="20" t="s">
        <v>789</v>
      </c>
      <c r="B184" s="20" t="s">
        <v>33</v>
      </c>
      <c r="C184" s="20" t="s">
        <v>273</v>
      </c>
      <c r="D184" s="20" t="s">
        <v>782</v>
      </c>
      <c r="E184" s="20" t="s">
        <v>790</v>
      </c>
      <c r="F184" s="20" t="s">
        <v>791</v>
      </c>
      <c r="G184" s="12">
        <f t="shared" si="4"/>
        <v>1.0595608630290712</v>
      </c>
      <c r="H184" s="14" t="s">
        <v>792</v>
      </c>
    </row>
    <row r="185" spans="1:8" ht="14" customHeight="1" x14ac:dyDescent="0.35">
      <c r="A185" s="20" t="s">
        <v>793</v>
      </c>
      <c r="B185" s="20" t="s">
        <v>33</v>
      </c>
      <c r="C185" s="20" t="s">
        <v>273</v>
      </c>
      <c r="D185" s="20" t="s">
        <v>782</v>
      </c>
      <c r="E185" s="20" t="s">
        <v>794</v>
      </c>
      <c r="F185" s="20" t="s">
        <v>795</v>
      </c>
      <c r="G185" s="19">
        <f t="shared" si="4"/>
        <v>0.9945143240091685</v>
      </c>
      <c r="H185" s="20"/>
    </row>
    <row r="186" spans="1:8" ht="14" customHeight="1" x14ac:dyDescent="0.35">
      <c r="A186" s="20" t="s">
        <v>796</v>
      </c>
      <c r="B186" s="20" t="s">
        <v>797</v>
      </c>
      <c r="C186" s="20" t="s">
        <v>273</v>
      </c>
      <c r="D186" s="20" t="s">
        <v>716</v>
      </c>
      <c r="E186" s="20" t="s">
        <v>798</v>
      </c>
      <c r="F186" s="14" t="s">
        <v>799</v>
      </c>
      <c r="G186" s="19">
        <f t="shared" si="4"/>
        <v>1.0014903129657229</v>
      </c>
      <c r="H186" s="20"/>
    </row>
    <row r="187" spans="1:8" ht="14" customHeight="1" x14ac:dyDescent="0.35">
      <c r="A187" s="20" t="s">
        <v>800</v>
      </c>
      <c r="B187" s="20" t="s">
        <v>801</v>
      </c>
      <c r="C187" s="20" t="s">
        <v>273</v>
      </c>
      <c r="D187" s="20" t="s">
        <v>716</v>
      </c>
      <c r="E187" s="20" t="s">
        <v>802</v>
      </c>
      <c r="F187" s="20" t="s">
        <v>128</v>
      </c>
      <c r="G187" s="20" t="s">
        <v>128</v>
      </c>
      <c r="H187" s="20" t="s">
        <v>211</v>
      </c>
    </row>
    <row r="188" spans="1:8" ht="14" customHeight="1" x14ac:dyDescent="0.35">
      <c r="A188" s="20" t="s">
        <v>800</v>
      </c>
      <c r="B188" s="20" t="s">
        <v>803</v>
      </c>
      <c r="C188" s="20" t="s">
        <v>273</v>
      </c>
      <c r="D188" s="20" t="s">
        <v>716</v>
      </c>
      <c r="E188" s="20" t="s">
        <v>804</v>
      </c>
      <c r="F188" s="20" t="s">
        <v>128</v>
      </c>
      <c r="G188" s="20" t="s">
        <v>128</v>
      </c>
      <c r="H188" s="20" t="s">
        <v>211</v>
      </c>
    </row>
    <row r="189" spans="1:8" ht="14" customHeight="1" x14ac:dyDescent="0.35">
      <c r="A189" s="20" t="s">
        <v>805</v>
      </c>
      <c r="B189" s="20" t="s">
        <v>801</v>
      </c>
      <c r="C189" s="20" t="s">
        <v>273</v>
      </c>
      <c r="D189" s="20" t="s">
        <v>716</v>
      </c>
      <c r="E189" s="20" t="s">
        <v>806</v>
      </c>
      <c r="F189" s="20" t="s">
        <v>128</v>
      </c>
      <c r="G189" s="20" t="s">
        <v>128</v>
      </c>
      <c r="H189" s="20" t="s">
        <v>211</v>
      </c>
    </row>
    <row r="190" spans="1:8" ht="14" customHeight="1" x14ac:dyDescent="0.35">
      <c r="A190" s="20" t="s">
        <v>805</v>
      </c>
      <c r="B190" s="20" t="s">
        <v>803</v>
      </c>
      <c r="C190" s="20" t="s">
        <v>273</v>
      </c>
      <c r="D190" s="20" t="s">
        <v>716</v>
      </c>
      <c r="E190" s="20" t="s">
        <v>807</v>
      </c>
      <c r="F190" s="20" t="s">
        <v>128</v>
      </c>
      <c r="G190" s="20" t="s">
        <v>128</v>
      </c>
      <c r="H190" s="20" t="s">
        <v>211</v>
      </c>
    </row>
    <row r="191" spans="1:8" ht="14" customHeight="1" x14ac:dyDescent="0.35">
      <c r="A191" s="20" t="s">
        <v>808</v>
      </c>
      <c r="B191" s="20" t="s">
        <v>797</v>
      </c>
      <c r="C191" s="20" t="s">
        <v>273</v>
      </c>
      <c r="D191" s="20" t="s">
        <v>716</v>
      </c>
      <c r="E191" s="20" t="s">
        <v>809</v>
      </c>
      <c r="F191" s="20" t="s">
        <v>810</v>
      </c>
      <c r="G191" s="19">
        <f>E191/F191</f>
        <v>0.99539296629110985</v>
      </c>
      <c r="H191" s="20"/>
    </row>
    <row r="192" spans="1:8" ht="14" customHeight="1" x14ac:dyDescent="0.35">
      <c r="A192" s="20" t="s">
        <v>811</v>
      </c>
      <c r="B192" s="20" t="s">
        <v>797</v>
      </c>
      <c r="C192" s="20" t="s">
        <v>273</v>
      </c>
      <c r="D192" s="20" t="s">
        <v>716</v>
      </c>
      <c r="E192" s="20" t="s">
        <v>812</v>
      </c>
      <c r="F192" s="20" t="s">
        <v>813</v>
      </c>
      <c r="G192" s="19">
        <f>E192/F192</f>
        <v>0.99377917338538568</v>
      </c>
      <c r="H192" s="20"/>
    </row>
    <row r="193" spans="1:8" ht="14" customHeight="1" x14ac:dyDescent="0.35">
      <c r="A193" s="20" t="s">
        <v>814</v>
      </c>
      <c r="B193" s="20" t="s">
        <v>797</v>
      </c>
      <c r="C193" s="20" t="s">
        <v>273</v>
      </c>
      <c r="D193" s="20" t="s">
        <v>716</v>
      </c>
      <c r="E193" s="20" t="s">
        <v>815</v>
      </c>
      <c r="F193" s="20" t="s">
        <v>816</v>
      </c>
      <c r="G193" s="19">
        <f>E193/F193</f>
        <v>0.982116160189062</v>
      </c>
      <c r="H193" s="20"/>
    </row>
    <row r="194" spans="1:8" ht="14" customHeight="1" x14ac:dyDescent="0.35">
      <c r="A194" s="20" t="s">
        <v>814</v>
      </c>
      <c r="B194" s="20" t="s">
        <v>801</v>
      </c>
      <c r="C194" s="20" t="s">
        <v>273</v>
      </c>
      <c r="D194" s="20" t="s">
        <v>716</v>
      </c>
      <c r="E194" s="20" t="s">
        <v>817</v>
      </c>
      <c r="F194" s="20" t="s">
        <v>128</v>
      </c>
      <c r="G194" s="20" t="s">
        <v>128</v>
      </c>
      <c r="H194" s="20" t="s">
        <v>211</v>
      </c>
    </row>
    <row r="195" spans="1:8" ht="14" customHeight="1" x14ac:dyDescent="0.35">
      <c r="A195" s="20" t="s">
        <v>814</v>
      </c>
      <c r="B195" s="20" t="s">
        <v>803</v>
      </c>
      <c r="C195" s="20" t="s">
        <v>273</v>
      </c>
      <c r="D195" s="20" t="s">
        <v>716</v>
      </c>
      <c r="E195" s="20" t="s">
        <v>818</v>
      </c>
      <c r="F195" s="20" t="s">
        <v>128</v>
      </c>
      <c r="G195" s="20" t="s">
        <v>128</v>
      </c>
      <c r="H195" s="20" t="s">
        <v>211</v>
      </c>
    </row>
    <row r="196" spans="1:8" ht="14" customHeight="1" x14ac:dyDescent="0.35">
      <c r="A196" s="20" t="s">
        <v>819</v>
      </c>
      <c r="B196" s="20" t="s">
        <v>797</v>
      </c>
      <c r="C196" s="20" t="s">
        <v>273</v>
      </c>
      <c r="D196" s="20" t="s">
        <v>716</v>
      </c>
      <c r="E196" s="20" t="s">
        <v>820</v>
      </c>
      <c r="F196" s="20" t="s">
        <v>821</v>
      </c>
      <c r="G196" s="19">
        <f>E196/F196</f>
        <v>0.96124031007751931</v>
      </c>
      <c r="H196" s="20"/>
    </row>
    <row r="197" spans="1:8" ht="14" customHeight="1" x14ac:dyDescent="0.35">
      <c r="A197" s="20" t="s">
        <v>819</v>
      </c>
      <c r="B197" s="20" t="s">
        <v>801</v>
      </c>
      <c r="C197" s="20" t="s">
        <v>273</v>
      </c>
      <c r="D197" s="20" t="s">
        <v>716</v>
      </c>
      <c r="E197" s="20" t="s">
        <v>822</v>
      </c>
      <c r="F197" s="20" t="s">
        <v>128</v>
      </c>
      <c r="G197" s="20" t="s">
        <v>128</v>
      </c>
      <c r="H197" s="20" t="s">
        <v>211</v>
      </c>
    </row>
    <row r="198" spans="1:8" ht="14" customHeight="1" x14ac:dyDescent="0.35">
      <c r="A198" s="20" t="s">
        <v>819</v>
      </c>
      <c r="B198" s="20" t="s">
        <v>803</v>
      </c>
      <c r="C198" s="20" t="s">
        <v>273</v>
      </c>
      <c r="D198" s="20" t="s">
        <v>716</v>
      </c>
      <c r="E198" s="20" t="s">
        <v>823</v>
      </c>
      <c r="F198" s="20" t="s">
        <v>128</v>
      </c>
      <c r="G198" s="20" t="s">
        <v>128</v>
      </c>
      <c r="H198" s="20" t="s">
        <v>211</v>
      </c>
    </row>
    <row r="199" spans="1:8" ht="14" customHeight="1" x14ac:dyDescent="0.35">
      <c r="A199" s="20" t="s">
        <v>824</v>
      </c>
      <c r="B199" s="20" t="s">
        <v>797</v>
      </c>
      <c r="C199" s="20" t="s">
        <v>273</v>
      </c>
      <c r="D199" s="20" t="s">
        <v>716</v>
      </c>
      <c r="E199" s="20" t="s">
        <v>825</v>
      </c>
      <c r="F199" s="20" t="s">
        <v>826</v>
      </c>
      <c r="G199" s="19">
        <f>E199/F199</f>
        <v>1.0119887955182072</v>
      </c>
      <c r="H199" s="20"/>
    </row>
    <row r="200" spans="1:8" ht="14" customHeight="1" x14ac:dyDescent="0.35">
      <c r="A200" s="20" t="s">
        <v>824</v>
      </c>
      <c r="B200" s="20" t="s">
        <v>801</v>
      </c>
      <c r="C200" s="20" t="s">
        <v>273</v>
      </c>
      <c r="D200" s="20" t="s">
        <v>716</v>
      </c>
      <c r="E200" s="20" t="s">
        <v>827</v>
      </c>
      <c r="F200" s="20" t="s">
        <v>128</v>
      </c>
      <c r="G200" s="20" t="s">
        <v>128</v>
      </c>
      <c r="H200" s="20" t="s">
        <v>211</v>
      </c>
    </row>
    <row r="201" spans="1:8" ht="14" customHeight="1" x14ac:dyDescent="0.35">
      <c r="A201" s="20" t="s">
        <v>824</v>
      </c>
      <c r="B201" s="20" t="s">
        <v>803</v>
      </c>
      <c r="C201" s="20" t="s">
        <v>273</v>
      </c>
      <c r="D201" s="20" t="s">
        <v>716</v>
      </c>
      <c r="E201" s="20" t="s">
        <v>828</v>
      </c>
      <c r="F201" s="20" t="s">
        <v>128</v>
      </c>
      <c r="G201" s="20" t="s">
        <v>128</v>
      </c>
      <c r="H201" s="20" t="s">
        <v>211</v>
      </c>
    </row>
    <row r="202" spans="1:8" ht="14" customHeight="1" x14ac:dyDescent="0.35">
      <c r="A202" s="20" t="s">
        <v>829</v>
      </c>
      <c r="B202" s="20" t="s">
        <v>797</v>
      </c>
      <c r="C202" s="20" t="s">
        <v>273</v>
      </c>
      <c r="D202" s="20" t="s">
        <v>716</v>
      </c>
      <c r="E202" s="20" t="s">
        <v>830</v>
      </c>
      <c r="F202" s="20" t="s">
        <v>831</v>
      </c>
      <c r="G202" s="19">
        <f>E202/F202</f>
        <v>1.0103156409804268</v>
      </c>
      <c r="H202" s="20"/>
    </row>
    <row r="203" spans="1:8" ht="14" customHeight="1" x14ac:dyDescent="0.35">
      <c r="A203" s="20" t="s">
        <v>829</v>
      </c>
      <c r="B203" s="20" t="s">
        <v>801</v>
      </c>
      <c r="C203" s="20" t="s">
        <v>273</v>
      </c>
      <c r="D203" s="20" t="s">
        <v>716</v>
      </c>
      <c r="E203" s="20" t="s">
        <v>832</v>
      </c>
      <c r="F203" s="20" t="s">
        <v>128</v>
      </c>
      <c r="G203" s="20" t="s">
        <v>128</v>
      </c>
      <c r="H203" s="20" t="s">
        <v>211</v>
      </c>
    </row>
    <row r="204" spans="1:8" ht="14" customHeight="1" x14ac:dyDescent="0.35">
      <c r="A204" s="20" t="s">
        <v>829</v>
      </c>
      <c r="B204" s="20" t="s">
        <v>803</v>
      </c>
      <c r="C204" s="20" t="s">
        <v>273</v>
      </c>
      <c r="D204" s="20" t="s">
        <v>716</v>
      </c>
      <c r="E204" s="20" t="s">
        <v>833</v>
      </c>
      <c r="F204" s="20" t="s">
        <v>128</v>
      </c>
      <c r="G204" s="20" t="s">
        <v>128</v>
      </c>
      <c r="H204" s="20" t="s">
        <v>211</v>
      </c>
    </row>
    <row r="205" spans="1:8" ht="14" customHeight="1" x14ac:dyDescent="0.35">
      <c r="A205" s="20" t="s">
        <v>834</v>
      </c>
      <c r="B205" s="20" t="s">
        <v>33</v>
      </c>
      <c r="C205" s="20" t="s">
        <v>273</v>
      </c>
      <c r="D205" s="20" t="s">
        <v>835</v>
      </c>
      <c r="E205" s="20" t="s">
        <v>836</v>
      </c>
      <c r="F205" s="20" t="s">
        <v>837</v>
      </c>
      <c r="G205" s="19">
        <f t="shared" ref="G205:G251" si="5">E205/F205</f>
        <v>1.0011104941699056</v>
      </c>
      <c r="H205" s="20"/>
    </row>
    <row r="206" spans="1:8" ht="14" customHeight="1" x14ac:dyDescent="0.35">
      <c r="A206" s="20" t="s">
        <v>838</v>
      </c>
      <c r="B206" s="20" t="s">
        <v>33</v>
      </c>
      <c r="C206" s="20" t="s">
        <v>273</v>
      </c>
      <c r="D206" s="20" t="s">
        <v>835</v>
      </c>
      <c r="E206" s="20" t="s">
        <v>839</v>
      </c>
      <c r="F206" s="20" t="s">
        <v>840</v>
      </c>
      <c r="G206" s="19">
        <f t="shared" si="5"/>
        <v>1.0019764705882352</v>
      </c>
      <c r="H206" s="20"/>
    </row>
    <row r="207" spans="1:8" ht="14" customHeight="1" x14ac:dyDescent="0.35">
      <c r="A207" s="20" t="s">
        <v>841</v>
      </c>
      <c r="B207" s="20" t="s">
        <v>33</v>
      </c>
      <c r="C207" s="20" t="s">
        <v>273</v>
      </c>
      <c r="D207" s="20" t="s">
        <v>835</v>
      </c>
      <c r="E207" s="20" t="s">
        <v>842</v>
      </c>
      <c r="F207" s="20" t="s">
        <v>843</v>
      </c>
      <c r="G207" s="19">
        <f t="shared" si="5"/>
        <v>0.99942770927631241</v>
      </c>
      <c r="H207" s="20"/>
    </row>
    <row r="208" spans="1:8" ht="14" customHeight="1" x14ac:dyDescent="0.35">
      <c r="A208" s="20" t="s">
        <v>844</v>
      </c>
      <c r="B208" s="20" t="s">
        <v>33</v>
      </c>
      <c r="C208" s="20" t="s">
        <v>273</v>
      </c>
      <c r="D208" s="20" t="s">
        <v>835</v>
      </c>
      <c r="E208" s="20" t="s">
        <v>845</v>
      </c>
      <c r="F208" s="20" t="s">
        <v>846</v>
      </c>
      <c r="G208" s="19">
        <f t="shared" si="5"/>
        <v>1.0001490421316659</v>
      </c>
      <c r="H208" s="20"/>
    </row>
    <row r="209" spans="1:8" ht="14" customHeight="1" x14ac:dyDescent="0.35">
      <c r="A209" s="20" t="s">
        <v>847</v>
      </c>
      <c r="B209" s="20" t="s">
        <v>33</v>
      </c>
      <c r="C209" s="20" t="s">
        <v>273</v>
      </c>
      <c r="D209" s="20" t="s">
        <v>835</v>
      </c>
      <c r="E209" s="20" t="s">
        <v>848</v>
      </c>
      <c r="F209" s="20" t="s">
        <v>848</v>
      </c>
      <c r="G209" s="19">
        <f t="shared" si="5"/>
        <v>1</v>
      </c>
      <c r="H209" s="20"/>
    </row>
    <row r="210" spans="1:8" ht="14" customHeight="1" x14ac:dyDescent="0.35">
      <c r="A210" s="20" t="s">
        <v>849</v>
      </c>
      <c r="B210" s="20" t="s">
        <v>33</v>
      </c>
      <c r="C210" s="20" t="s">
        <v>273</v>
      </c>
      <c r="D210" s="20" t="s">
        <v>835</v>
      </c>
      <c r="E210" s="20" t="s">
        <v>850</v>
      </c>
      <c r="F210" s="20" t="s">
        <v>851</v>
      </c>
      <c r="G210" s="19">
        <f t="shared" si="5"/>
        <v>1.0467132250651139</v>
      </c>
      <c r="H210" s="20"/>
    </row>
    <row r="211" spans="1:8" ht="14" customHeight="1" x14ac:dyDescent="0.35">
      <c r="A211" s="20" t="s">
        <v>852</v>
      </c>
      <c r="B211" s="20" t="s">
        <v>33</v>
      </c>
      <c r="C211" s="20" t="s">
        <v>273</v>
      </c>
      <c r="D211" s="20" t="s">
        <v>835</v>
      </c>
      <c r="E211" s="20" t="s">
        <v>853</v>
      </c>
      <c r="F211" s="20" t="s">
        <v>854</v>
      </c>
      <c r="G211" s="19">
        <f t="shared" si="5"/>
        <v>0.99422082061363903</v>
      </c>
      <c r="H211" s="20"/>
    </row>
    <row r="212" spans="1:8" ht="14" customHeight="1" x14ac:dyDescent="0.35">
      <c r="A212" s="20" t="s">
        <v>328</v>
      </c>
      <c r="B212" s="20" t="s">
        <v>329</v>
      </c>
      <c r="C212" s="20" t="s">
        <v>273</v>
      </c>
      <c r="D212" s="20" t="s">
        <v>330</v>
      </c>
      <c r="E212" s="20" t="s">
        <v>855</v>
      </c>
      <c r="F212" s="14" t="s">
        <v>332</v>
      </c>
      <c r="G212" s="19">
        <f t="shared" si="5"/>
        <v>1.0252325457072597</v>
      </c>
      <c r="H212" s="20"/>
    </row>
    <row r="213" spans="1:8" ht="14" customHeight="1" x14ac:dyDescent="0.35">
      <c r="A213" s="20" t="s">
        <v>333</v>
      </c>
      <c r="B213" s="20" t="s">
        <v>329</v>
      </c>
      <c r="C213" s="20" t="s">
        <v>273</v>
      </c>
      <c r="D213" s="20" t="s">
        <v>330</v>
      </c>
      <c r="E213" s="20" t="s">
        <v>856</v>
      </c>
      <c r="F213" s="14" t="s">
        <v>335</v>
      </c>
      <c r="G213" s="19">
        <f t="shared" si="5"/>
        <v>0.99880015997866944</v>
      </c>
      <c r="H213" s="20"/>
    </row>
    <row r="214" spans="1:8" ht="14" customHeight="1" x14ac:dyDescent="0.35">
      <c r="A214" s="20" t="s">
        <v>336</v>
      </c>
      <c r="B214" s="20" t="s">
        <v>329</v>
      </c>
      <c r="C214" s="20" t="s">
        <v>273</v>
      </c>
      <c r="D214" s="20" t="s">
        <v>330</v>
      </c>
      <c r="E214" s="20" t="s">
        <v>857</v>
      </c>
      <c r="F214" s="14" t="s">
        <v>338</v>
      </c>
      <c r="G214" s="19">
        <f t="shared" si="5"/>
        <v>1.015485787017395</v>
      </c>
      <c r="H214" s="20"/>
    </row>
    <row r="215" spans="1:8" ht="14" customHeight="1" x14ac:dyDescent="0.35">
      <c r="A215" s="20" t="s">
        <v>339</v>
      </c>
      <c r="B215" s="20" t="s">
        <v>329</v>
      </c>
      <c r="C215" s="20" t="s">
        <v>273</v>
      </c>
      <c r="D215" s="20" t="s">
        <v>330</v>
      </c>
      <c r="E215" s="20" t="s">
        <v>858</v>
      </c>
      <c r="F215" s="14" t="s">
        <v>341</v>
      </c>
      <c r="G215" s="19">
        <f t="shared" si="5"/>
        <v>1.0008976257798123</v>
      </c>
      <c r="H215" s="20"/>
    </row>
    <row r="216" spans="1:8" ht="14" customHeight="1" x14ac:dyDescent="0.35">
      <c r="A216" s="20" t="s">
        <v>859</v>
      </c>
      <c r="B216" s="20" t="s">
        <v>33</v>
      </c>
      <c r="C216" s="20" t="s">
        <v>273</v>
      </c>
      <c r="D216" s="20" t="s">
        <v>716</v>
      </c>
      <c r="E216" s="20" t="s">
        <v>860</v>
      </c>
      <c r="F216" s="20" t="s">
        <v>861</v>
      </c>
      <c r="G216" s="19">
        <f t="shared" si="5"/>
        <v>1.0168818272095335</v>
      </c>
      <c r="H216" s="20"/>
    </row>
    <row r="217" spans="1:8" ht="14" customHeight="1" x14ac:dyDescent="0.35">
      <c r="A217" s="20" t="s">
        <v>862</v>
      </c>
      <c r="B217" s="20" t="s">
        <v>33</v>
      </c>
      <c r="C217" s="20" t="s">
        <v>273</v>
      </c>
      <c r="D217" s="20" t="s">
        <v>716</v>
      </c>
      <c r="E217" s="20" t="s">
        <v>863</v>
      </c>
      <c r="F217" s="20" t="s">
        <v>864</v>
      </c>
      <c r="G217" s="2">
        <f t="shared" si="5"/>
        <v>0.93341514165288386</v>
      </c>
      <c r="H217" s="20" t="s">
        <v>865</v>
      </c>
    </row>
    <row r="218" spans="1:8" ht="14" customHeight="1" x14ac:dyDescent="0.35">
      <c r="A218" s="20" t="s">
        <v>862</v>
      </c>
      <c r="B218" s="20" t="s">
        <v>866</v>
      </c>
      <c r="C218" s="20" t="s">
        <v>273</v>
      </c>
      <c r="D218" s="20" t="s">
        <v>716</v>
      </c>
      <c r="E218" s="20" t="s">
        <v>867</v>
      </c>
      <c r="F218" s="20" t="s">
        <v>868</v>
      </c>
      <c r="G218" s="19">
        <f t="shared" si="5"/>
        <v>1.0100737797956867</v>
      </c>
      <c r="H218" s="20"/>
    </row>
    <row r="219" spans="1:8" ht="14" customHeight="1" x14ac:dyDescent="0.35">
      <c r="A219" s="20" t="s">
        <v>869</v>
      </c>
      <c r="B219" s="20" t="s">
        <v>33</v>
      </c>
      <c r="C219" s="20" t="s">
        <v>273</v>
      </c>
      <c r="D219" s="20" t="s">
        <v>716</v>
      </c>
      <c r="E219" s="20" t="s">
        <v>870</v>
      </c>
      <c r="F219" s="20" t="s">
        <v>871</v>
      </c>
      <c r="G219" s="19">
        <f t="shared" si="5"/>
        <v>1.0375939849624058</v>
      </c>
      <c r="H219" s="20"/>
    </row>
    <row r="220" spans="1:8" ht="14" customHeight="1" x14ac:dyDescent="0.35">
      <c r="A220" s="20" t="s">
        <v>869</v>
      </c>
      <c r="B220" s="20" t="s">
        <v>866</v>
      </c>
      <c r="C220" s="20" t="s">
        <v>273</v>
      </c>
      <c r="D220" s="20" t="s">
        <v>716</v>
      </c>
      <c r="E220" s="20" t="s">
        <v>872</v>
      </c>
      <c r="F220" s="20" t="s">
        <v>873</v>
      </c>
      <c r="G220" s="19">
        <f t="shared" si="5"/>
        <v>1.0223880597014925</v>
      </c>
      <c r="H220" s="20"/>
    </row>
    <row r="221" spans="1:8" ht="14" customHeight="1" x14ac:dyDescent="0.35">
      <c r="A221" s="20" t="s">
        <v>874</v>
      </c>
      <c r="B221" s="20" t="s">
        <v>33</v>
      </c>
      <c r="C221" s="20" t="s">
        <v>273</v>
      </c>
      <c r="D221" s="20" t="s">
        <v>716</v>
      </c>
      <c r="E221" s="20" t="s">
        <v>875</v>
      </c>
      <c r="F221" s="20" t="s">
        <v>876</v>
      </c>
      <c r="G221" s="2">
        <f t="shared" si="5"/>
        <v>1.0510534846029174</v>
      </c>
      <c r="H221" s="20" t="s">
        <v>40</v>
      </c>
    </row>
    <row r="222" spans="1:8" ht="14" customHeight="1" x14ac:dyDescent="0.35">
      <c r="A222" s="20" t="s">
        <v>874</v>
      </c>
      <c r="B222" s="20" t="s">
        <v>866</v>
      </c>
      <c r="C222" s="20" t="s">
        <v>273</v>
      </c>
      <c r="D222" s="20" t="s">
        <v>716</v>
      </c>
      <c r="E222" s="20" t="s">
        <v>877</v>
      </c>
      <c r="F222" s="20" t="s">
        <v>878</v>
      </c>
      <c r="G222" s="19">
        <f t="shared" si="5"/>
        <v>0.98798798798798793</v>
      </c>
      <c r="H222" s="20"/>
    </row>
    <row r="223" spans="1:8" ht="14" customHeight="1" x14ac:dyDescent="0.35">
      <c r="A223" s="20" t="s">
        <v>879</v>
      </c>
      <c r="B223" s="20" t="s">
        <v>33</v>
      </c>
      <c r="C223" s="20" t="s">
        <v>273</v>
      </c>
      <c r="D223" s="20" t="s">
        <v>716</v>
      </c>
      <c r="E223" s="20" t="s">
        <v>880</v>
      </c>
      <c r="F223" s="20" t="s">
        <v>881</v>
      </c>
      <c r="G223" s="2">
        <f t="shared" si="5"/>
        <v>1.0912044278666828</v>
      </c>
      <c r="H223" s="20" t="s">
        <v>40</v>
      </c>
    </row>
    <row r="224" spans="1:8" ht="14" customHeight="1" x14ac:dyDescent="0.35">
      <c r="A224" s="20" t="s">
        <v>879</v>
      </c>
      <c r="B224" s="20" t="s">
        <v>866</v>
      </c>
      <c r="C224" s="20" t="s">
        <v>273</v>
      </c>
      <c r="D224" s="20" t="s">
        <v>716</v>
      </c>
      <c r="E224" s="20" t="s">
        <v>882</v>
      </c>
      <c r="F224" s="20" t="s">
        <v>883</v>
      </c>
      <c r="G224" s="19">
        <f t="shared" si="5"/>
        <v>0.98201977824393161</v>
      </c>
      <c r="H224" s="20"/>
    </row>
    <row r="225" spans="1:8" ht="14" customHeight="1" x14ac:dyDescent="0.35">
      <c r="A225" s="20" t="s">
        <v>884</v>
      </c>
      <c r="B225" s="20" t="s">
        <v>33</v>
      </c>
      <c r="C225" s="20" t="s">
        <v>273</v>
      </c>
      <c r="D225" s="20" t="s">
        <v>716</v>
      </c>
      <c r="E225" s="20" t="s">
        <v>885</v>
      </c>
      <c r="F225" s="20" t="s">
        <v>886</v>
      </c>
      <c r="G225" s="19">
        <f t="shared" si="5"/>
        <v>0.98839127987110054</v>
      </c>
      <c r="H225" s="20"/>
    </row>
    <row r="226" spans="1:8" ht="14" customHeight="1" x14ac:dyDescent="0.35">
      <c r="A226" s="20" t="s">
        <v>884</v>
      </c>
      <c r="B226" s="20" t="s">
        <v>866</v>
      </c>
      <c r="C226" s="20" t="s">
        <v>273</v>
      </c>
      <c r="D226" s="20" t="s">
        <v>716</v>
      </c>
      <c r="E226" s="20" t="s">
        <v>887</v>
      </c>
      <c r="F226" s="20" t="s">
        <v>888</v>
      </c>
      <c r="G226" s="19">
        <f t="shared" si="5"/>
        <v>0.95867877352283193</v>
      </c>
      <c r="H226" s="20"/>
    </row>
    <row r="227" spans="1:8" ht="14" customHeight="1" x14ac:dyDescent="0.35">
      <c r="A227" s="20" t="s">
        <v>889</v>
      </c>
      <c r="B227" s="20" t="s">
        <v>33</v>
      </c>
      <c r="C227" s="20" t="s">
        <v>273</v>
      </c>
      <c r="D227" s="20" t="s">
        <v>716</v>
      </c>
      <c r="E227" s="20" t="s">
        <v>890</v>
      </c>
      <c r="F227" s="20" t="s">
        <v>891</v>
      </c>
      <c r="G227" s="19">
        <f t="shared" si="5"/>
        <v>0.99412741814410721</v>
      </c>
      <c r="H227" s="20"/>
    </row>
    <row r="228" spans="1:8" ht="14" customHeight="1" x14ac:dyDescent="0.35">
      <c r="A228" s="20" t="s">
        <v>889</v>
      </c>
      <c r="B228" s="20" t="s">
        <v>866</v>
      </c>
      <c r="C228" s="20" t="s">
        <v>273</v>
      </c>
      <c r="D228" s="20" t="s">
        <v>716</v>
      </c>
      <c r="E228" s="20" t="s">
        <v>892</v>
      </c>
      <c r="F228" s="20" t="s">
        <v>893</v>
      </c>
      <c r="G228" s="19">
        <f t="shared" si="5"/>
        <v>0.99138353297412829</v>
      </c>
      <c r="H228" s="20"/>
    </row>
    <row r="229" spans="1:8" ht="14" customHeight="1" x14ac:dyDescent="0.35">
      <c r="A229" s="20" t="s">
        <v>894</v>
      </c>
      <c r="B229" s="20" t="s">
        <v>33</v>
      </c>
      <c r="C229" s="20" t="s">
        <v>273</v>
      </c>
      <c r="D229" s="20" t="s">
        <v>895</v>
      </c>
      <c r="E229" s="20" t="s">
        <v>896</v>
      </c>
      <c r="F229" s="20" t="s">
        <v>897</v>
      </c>
      <c r="G229" s="19">
        <f t="shared" si="5"/>
        <v>1.0001921229586936</v>
      </c>
      <c r="H229" s="20"/>
    </row>
    <row r="230" spans="1:8" ht="14" customHeight="1" x14ac:dyDescent="0.35">
      <c r="A230" s="20" t="s">
        <v>894</v>
      </c>
      <c r="B230" s="20" t="s">
        <v>866</v>
      </c>
      <c r="C230" s="20" t="s">
        <v>273</v>
      </c>
      <c r="D230" s="20" t="s">
        <v>895</v>
      </c>
      <c r="E230" s="20" t="s">
        <v>898</v>
      </c>
      <c r="F230" s="20" t="s">
        <v>899</v>
      </c>
      <c r="G230" s="19">
        <f t="shared" si="5"/>
        <v>1.0097911227154046</v>
      </c>
      <c r="H230" s="20"/>
    </row>
    <row r="231" spans="1:8" ht="14" customHeight="1" x14ac:dyDescent="0.35">
      <c r="A231" s="20" t="s">
        <v>900</v>
      </c>
      <c r="B231" s="20" t="s">
        <v>901</v>
      </c>
      <c r="C231" s="20" t="s">
        <v>273</v>
      </c>
      <c r="D231" s="20" t="s">
        <v>902</v>
      </c>
      <c r="E231" s="20" t="s">
        <v>903</v>
      </c>
      <c r="F231" s="20" t="s">
        <v>904</v>
      </c>
      <c r="G231" s="19">
        <f t="shared" si="5"/>
        <v>0.98804810997112458</v>
      </c>
      <c r="H231" s="20"/>
    </row>
    <row r="232" spans="1:8" ht="14" customHeight="1" x14ac:dyDescent="0.35">
      <c r="A232" s="20" t="s">
        <v>905</v>
      </c>
      <c r="B232" s="20" t="s">
        <v>906</v>
      </c>
      <c r="C232" s="20" t="s">
        <v>273</v>
      </c>
      <c r="D232" s="20" t="s">
        <v>902</v>
      </c>
      <c r="E232" s="20" t="s">
        <v>907</v>
      </c>
      <c r="F232" s="20" t="s">
        <v>908</v>
      </c>
      <c r="G232" s="19">
        <f t="shared" si="5"/>
        <v>0.99737970462124814</v>
      </c>
      <c r="H232" s="20"/>
    </row>
    <row r="233" spans="1:8" ht="14" customHeight="1" x14ac:dyDescent="0.35">
      <c r="A233" s="20" t="s">
        <v>909</v>
      </c>
      <c r="B233" s="20" t="s">
        <v>906</v>
      </c>
      <c r="C233" s="20" t="s">
        <v>273</v>
      </c>
      <c r="D233" s="20" t="s">
        <v>902</v>
      </c>
      <c r="E233" s="20" t="s">
        <v>910</v>
      </c>
      <c r="F233" s="20" t="s">
        <v>911</v>
      </c>
      <c r="G233" s="19">
        <f t="shared" si="5"/>
        <v>0.9934024440945739</v>
      </c>
      <c r="H233" s="20"/>
    </row>
    <row r="234" spans="1:8" ht="14" customHeight="1" x14ac:dyDescent="0.35">
      <c r="A234" s="20" t="s">
        <v>912</v>
      </c>
      <c r="B234" s="20" t="s">
        <v>906</v>
      </c>
      <c r="C234" s="20" t="s">
        <v>273</v>
      </c>
      <c r="D234" s="20" t="s">
        <v>902</v>
      </c>
      <c r="E234" s="20" t="s">
        <v>913</v>
      </c>
      <c r="F234" s="20" t="s">
        <v>914</v>
      </c>
      <c r="G234" s="19">
        <f t="shared" si="5"/>
        <v>0.99054282846141184</v>
      </c>
      <c r="H234" s="20"/>
    </row>
    <row r="235" spans="1:8" ht="14" customHeight="1" x14ac:dyDescent="0.35">
      <c r="A235" s="20" t="s">
        <v>915</v>
      </c>
      <c r="B235" s="20" t="s">
        <v>901</v>
      </c>
      <c r="C235" s="20" t="s">
        <v>273</v>
      </c>
      <c r="D235" s="20" t="s">
        <v>902</v>
      </c>
      <c r="E235" s="20" t="s">
        <v>916</v>
      </c>
      <c r="F235" s="20" t="s">
        <v>917</v>
      </c>
      <c r="G235" s="19">
        <f t="shared" si="5"/>
        <v>0.99476886495559125</v>
      </c>
      <c r="H235" s="20"/>
    </row>
    <row r="236" spans="1:8" ht="14" customHeight="1" x14ac:dyDescent="0.35">
      <c r="A236" s="20" t="s">
        <v>918</v>
      </c>
      <c r="B236" s="20" t="s">
        <v>901</v>
      </c>
      <c r="C236" s="20" t="s">
        <v>273</v>
      </c>
      <c r="D236" s="20" t="s">
        <v>902</v>
      </c>
      <c r="E236" s="20" t="s">
        <v>919</v>
      </c>
      <c r="F236" s="20" t="s">
        <v>920</v>
      </c>
      <c r="G236" s="19">
        <f t="shared" si="5"/>
        <v>0.99164156181700047</v>
      </c>
      <c r="H236" s="20"/>
    </row>
    <row r="237" spans="1:8" ht="14" customHeight="1" x14ac:dyDescent="0.35">
      <c r="A237" s="20" t="s">
        <v>921</v>
      </c>
      <c r="B237" s="20" t="s">
        <v>901</v>
      </c>
      <c r="C237" s="20" t="s">
        <v>273</v>
      </c>
      <c r="D237" s="20" t="s">
        <v>902</v>
      </c>
      <c r="E237" s="20" t="s">
        <v>922</v>
      </c>
      <c r="F237" s="20" t="s">
        <v>923</v>
      </c>
      <c r="G237" s="19">
        <f t="shared" si="5"/>
        <v>1.007328893669232</v>
      </c>
      <c r="H237" s="20"/>
    </row>
    <row r="238" spans="1:8" ht="14" customHeight="1" x14ac:dyDescent="0.35">
      <c r="A238" s="20" t="s">
        <v>924</v>
      </c>
      <c r="B238" s="20" t="s">
        <v>33</v>
      </c>
      <c r="C238" s="20" t="s">
        <v>273</v>
      </c>
      <c r="D238" s="20" t="s">
        <v>716</v>
      </c>
      <c r="E238" s="20" t="s">
        <v>925</v>
      </c>
      <c r="F238" s="20" t="s">
        <v>926</v>
      </c>
      <c r="G238" s="19">
        <f t="shared" si="5"/>
        <v>1.0202701265553547</v>
      </c>
      <c r="H238" s="20"/>
    </row>
    <row r="239" spans="1:8" ht="14" customHeight="1" x14ac:dyDescent="0.35">
      <c r="A239" s="20" t="s">
        <v>927</v>
      </c>
      <c r="B239" s="20" t="s">
        <v>33</v>
      </c>
      <c r="C239" s="20" t="s">
        <v>273</v>
      </c>
      <c r="D239" s="20" t="s">
        <v>716</v>
      </c>
      <c r="E239" s="20" t="s">
        <v>928</v>
      </c>
      <c r="F239" s="20" t="s">
        <v>929</v>
      </c>
      <c r="G239" s="19">
        <f t="shared" si="5"/>
        <v>1.0043951537412297</v>
      </c>
      <c r="H239" s="20"/>
    </row>
    <row r="240" spans="1:8" ht="14" customHeight="1" x14ac:dyDescent="0.35">
      <c r="A240" s="20" t="s">
        <v>930</v>
      </c>
      <c r="B240" s="20" t="s">
        <v>33</v>
      </c>
      <c r="C240" s="20" t="s">
        <v>273</v>
      </c>
      <c r="D240" s="20" t="s">
        <v>716</v>
      </c>
      <c r="E240" s="20" t="s">
        <v>931</v>
      </c>
      <c r="F240" s="20" t="s">
        <v>932</v>
      </c>
      <c r="G240" s="19">
        <f t="shared" si="5"/>
        <v>1.0074666044449629</v>
      </c>
      <c r="H240" s="20"/>
    </row>
    <row r="241" spans="1:8" ht="14" customHeight="1" x14ac:dyDescent="0.35">
      <c r="A241" s="20" t="s">
        <v>933</v>
      </c>
      <c r="B241" s="20" t="s">
        <v>33</v>
      </c>
      <c r="C241" s="20" t="s">
        <v>273</v>
      </c>
      <c r="D241" s="20" t="s">
        <v>716</v>
      </c>
      <c r="E241" s="20" t="s">
        <v>934</v>
      </c>
      <c r="F241" s="20" t="s">
        <v>935</v>
      </c>
      <c r="G241" s="19">
        <f t="shared" si="5"/>
        <v>0.99495464696313862</v>
      </c>
      <c r="H241" s="20"/>
    </row>
    <row r="242" spans="1:8" ht="14" customHeight="1" x14ac:dyDescent="0.35">
      <c r="A242" s="20" t="s">
        <v>936</v>
      </c>
      <c r="B242" s="20" t="s">
        <v>937</v>
      </c>
      <c r="C242" s="20" t="s">
        <v>273</v>
      </c>
      <c r="D242" s="20" t="s">
        <v>938</v>
      </c>
      <c r="E242" s="20" t="s">
        <v>939</v>
      </c>
      <c r="F242" s="20" t="s">
        <v>940</v>
      </c>
      <c r="G242" s="19">
        <f t="shared" si="5"/>
        <v>0.99199565866232531</v>
      </c>
      <c r="H242" s="20"/>
    </row>
    <row r="243" spans="1:8" ht="14" customHeight="1" x14ac:dyDescent="0.35">
      <c r="A243" s="20" t="s">
        <v>941</v>
      </c>
      <c r="B243" s="20" t="s">
        <v>937</v>
      </c>
      <c r="C243" s="20" t="s">
        <v>273</v>
      </c>
      <c r="D243" s="20" t="s">
        <v>938</v>
      </c>
      <c r="E243" s="20" t="s">
        <v>942</v>
      </c>
      <c r="F243" s="20" t="s">
        <v>942</v>
      </c>
      <c r="G243" s="19">
        <f t="shared" si="5"/>
        <v>1</v>
      </c>
      <c r="H243" s="20"/>
    </row>
    <row r="244" spans="1:8" ht="14" customHeight="1" x14ac:dyDescent="0.35">
      <c r="A244" s="20" t="s">
        <v>943</v>
      </c>
      <c r="B244" s="20" t="s">
        <v>937</v>
      </c>
      <c r="C244" s="20" t="s">
        <v>273</v>
      </c>
      <c r="D244" s="20" t="s">
        <v>938</v>
      </c>
      <c r="E244" s="20" t="s">
        <v>944</v>
      </c>
      <c r="F244" s="20" t="s">
        <v>537</v>
      </c>
      <c r="G244" s="19">
        <f t="shared" si="5"/>
        <v>0.99650837988826824</v>
      </c>
      <c r="H244" s="20"/>
    </row>
    <row r="245" spans="1:8" ht="14" customHeight="1" x14ac:dyDescent="0.35">
      <c r="A245" s="20" t="s">
        <v>945</v>
      </c>
      <c r="B245" s="20" t="s">
        <v>937</v>
      </c>
      <c r="C245" s="20" t="s">
        <v>273</v>
      </c>
      <c r="D245" s="20" t="s">
        <v>938</v>
      </c>
      <c r="E245" s="20" t="s">
        <v>946</v>
      </c>
      <c r="F245" s="20" t="s">
        <v>947</v>
      </c>
      <c r="G245" s="19">
        <f t="shared" si="5"/>
        <v>0.99945078415817412</v>
      </c>
      <c r="H245" s="20"/>
    </row>
    <row r="246" spans="1:8" ht="14" customHeight="1" x14ac:dyDescent="0.35">
      <c r="A246" s="20" t="s">
        <v>369</v>
      </c>
      <c r="B246" s="20" t="s">
        <v>370</v>
      </c>
      <c r="C246" s="20" t="s">
        <v>273</v>
      </c>
      <c r="D246" s="20" t="s">
        <v>371</v>
      </c>
      <c r="E246" s="20" t="s">
        <v>372</v>
      </c>
      <c r="F246" s="20" t="s">
        <v>372</v>
      </c>
      <c r="G246" s="19">
        <f t="shared" si="5"/>
        <v>1</v>
      </c>
      <c r="H246" s="20"/>
    </row>
    <row r="247" spans="1:8" ht="14" customHeight="1" x14ac:dyDescent="0.35">
      <c r="A247" s="20" t="s">
        <v>948</v>
      </c>
      <c r="B247" s="20" t="s">
        <v>33</v>
      </c>
      <c r="C247" s="20" t="s">
        <v>273</v>
      </c>
      <c r="D247" s="20" t="s">
        <v>835</v>
      </c>
      <c r="E247" s="20" t="s">
        <v>949</v>
      </c>
      <c r="F247" s="20" t="s">
        <v>950</v>
      </c>
      <c r="G247" s="19">
        <f t="shared" si="5"/>
        <v>1.0126886861917301</v>
      </c>
      <c r="H247" s="20"/>
    </row>
    <row r="248" spans="1:8" ht="14" customHeight="1" x14ac:dyDescent="0.35">
      <c r="A248" s="20" t="s">
        <v>951</v>
      </c>
      <c r="B248" s="20" t="s">
        <v>33</v>
      </c>
      <c r="C248" s="20" t="s">
        <v>273</v>
      </c>
      <c r="D248" s="20" t="s">
        <v>835</v>
      </c>
      <c r="E248" s="20" t="s">
        <v>952</v>
      </c>
      <c r="F248" s="20" t="s">
        <v>953</v>
      </c>
      <c r="G248" s="19">
        <f t="shared" si="5"/>
        <v>0.98852339118599375</v>
      </c>
      <c r="H248" s="20"/>
    </row>
    <row r="249" spans="1:8" ht="14" customHeight="1" x14ac:dyDescent="0.35">
      <c r="A249" s="20" t="s">
        <v>954</v>
      </c>
      <c r="B249" s="20" t="s">
        <v>33</v>
      </c>
      <c r="C249" s="20" t="s">
        <v>273</v>
      </c>
      <c r="D249" s="20" t="s">
        <v>835</v>
      </c>
      <c r="E249" s="20" t="s">
        <v>955</v>
      </c>
      <c r="F249" s="20" t="s">
        <v>956</v>
      </c>
      <c r="G249" s="19">
        <f t="shared" si="5"/>
        <v>0.99718407333516212</v>
      </c>
      <c r="H249" s="20"/>
    </row>
    <row r="250" spans="1:8" ht="14" customHeight="1" x14ac:dyDescent="0.35">
      <c r="A250" s="20" t="s">
        <v>957</v>
      </c>
      <c r="B250" s="20" t="s">
        <v>33</v>
      </c>
      <c r="C250" s="20" t="s">
        <v>273</v>
      </c>
      <c r="D250" s="20" t="s">
        <v>92</v>
      </c>
      <c r="E250" s="20" t="s">
        <v>958</v>
      </c>
      <c r="F250" s="20" t="s">
        <v>959</v>
      </c>
      <c r="G250" s="2">
        <f t="shared" si="5"/>
        <v>1.0799095535643026</v>
      </c>
      <c r="H250" s="20" t="s">
        <v>40</v>
      </c>
    </row>
    <row r="251" spans="1:8" ht="14" customHeight="1" x14ac:dyDescent="0.35">
      <c r="A251" s="20" t="s">
        <v>960</v>
      </c>
      <c r="B251" s="20" t="s">
        <v>33</v>
      </c>
      <c r="C251" s="20" t="s">
        <v>273</v>
      </c>
      <c r="D251" s="20" t="s">
        <v>92</v>
      </c>
      <c r="E251" s="20" t="s">
        <v>961</v>
      </c>
      <c r="F251" s="20" t="s">
        <v>962</v>
      </c>
      <c r="G251" s="2">
        <f t="shared" si="5"/>
        <v>1.1098403209556607</v>
      </c>
      <c r="H251" s="20" t="s">
        <v>40</v>
      </c>
    </row>
    <row r="254" spans="1:8" ht="14" customHeight="1" x14ac:dyDescent="0.35">
      <c r="A254" s="36" t="s">
        <v>373</v>
      </c>
      <c r="B254" s="20"/>
      <c r="C254" s="20"/>
    </row>
    <row r="255" spans="1:8" ht="14" customHeight="1" x14ac:dyDescent="0.35">
      <c r="A255" s="36" t="s">
        <v>24</v>
      </c>
      <c r="B255" s="36" t="s">
        <v>25</v>
      </c>
      <c r="C255" s="36" t="s">
        <v>28</v>
      </c>
    </row>
    <row r="256" spans="1:8" ht="14" customHeight="1" x14ac:dyDescent="0.35">
      <c r="A256" s="20" t="s">
        <v>374</v>
      </c>
      <c r="B256" s="20" t="s">
        <v>33</v>
      </c>
      <c r="C256" s="14" t="s">
        <v>375</v>
      </c>
    </row>
    <row r="257" spans="1:3" ht="14" customHeight="1" x14ac:dyDescent="0.35">
      <c r="A257" s="20" t="s">
        <v>376</v>
      </c>
      <c r="B257" s="20" t="s">
        <v>33</v>
      </c>
      <c r="C257" s="14" t="s">
        <v>375</v>
      </c>
    </row>
    <row r="258" spans="1:3" ht="14" customHeight="1" x14ac:dyDescent="0.35">
      <c r="A258" s="20" t="s">
        <v>377</v>
      </c>
      <c r="B258" s="20" t="s">
        <v>33</v>
      </c>
      <c r="C258" s="14" t="s">
        <v>375</v>
      </c>
    </row>
    <row r="259" spans="1:3" ht="14" customHeight="1" x14ac:dyDescent="0.35">
      <c r="A259" s="20" t="s">
        <v>378</v>
      </c>
      <c r="B259" s="20" t="s">
        <v>33</v>
      </c>
      <c r="C259" s="14" t="s">
        <v>375</v>
      </c>
    </row>
    <row r="260" spans="1:3" ht="14" customHeight="1" x14ac:dyDescent="0.35">
      <c r="A260" s="20" t="s">
        <v>379</v>
      </c>
      <c r="B260" s="20" t="s">
        <v>33</v>
      </c>
      <c r="C260" s="14" t="s">
        <v>375</v>
      </c>
    </row>
    <row r="261" spans="1:3" ht="14" customHeight="1" x14ac:dyDescent="0.35">
      <c r="A261" s="20" t="s">
        <v>380</v>
      </c>
      <c r="B261" s="20" t="s">
        <v>33</v>
      </c>
      <c r="C261" s="14" t="s">
        <v>375</v>
      </c>
    </row>
    <row r="262" spans="1:3" ht="14" customHeight="1" x14ac:dyDescent="0.35">
      <c r="A262" s="20" t="s">
        <v>381</v>
      </c>
      <c r="B262" s="20" t="s">
        <v>33</v>
      </c>
      <c r="C262" s="14" t="s">
        <v>375</v>
      </c>
    </row>
    <row r="263" spans="1:3" ht="14" customHeight="1" x14ac:dyDescent="0.35">
      <c r="A263" s="20" t="s">
        <v>382</v>
      </c>
      <c r="B263" s="20" t="s">
        <v>33</v>
      </c>
      <c r="C263" s="14" t="s">
        <v>375</v>
      </c>
    </row>
    <row r="264" spans="1:3" ht="14" customHeight="1" x14ac:dyDescent="0.35">
      <c r="A264" s="20" t="s">
        <v>963</v>
      </c>
      <c r="B264" s="20" t="s">
        <v>33</v>
      </c>
      <c r="C264" s="14" t="s">
        <v>375</v>
      </c>
    </row>
    <row r="265" spans="1:3" ht="14" customHeight="1" x14ac:dyDescent="0.35">
      <c r="A265" s="20" t="s">
        <v>964</v>
      </c>
      <c r="B265" s="20" t="s">
        <v>33</v>
      </c>
      <c r="C265" s="14" t="s">
        <v>375</v>
      </c>
    </row>
    <row r="266" spans="1:3" ht="14" customHeight="1" x14ac:dyDescent="0.35">
      <c r="A266" s="20" t="s">
        <v>386</v>
      </c>
      <c r="B266" s="20" t="s">
        <v>33</v>
      </c>
      <c r="C266" s="14" t="s">
        <v>375</v>
      </c>
    </row>
    <row r="267" spans="1:3" ht="14" customHeight="1" x14ac:dyDescent="0.35">
      <c r="A267" s="20" t="s">
        <v>387</v>
      </c>
      <c r="B267" s="20" t="s">
        <v>33</v>
      </c>
      <c r="C267" s="14" t="s">
        <v>375</v>
      </c>
    </row>
    <row r="268" spans="1:3" ht="14" customHeight="1" x14ac:dyDescent="0.35">
      <c r="A268" s="20" t="s">
        <v>388</v>
      </c>
      <c r="B268" s="20" t="s">
        <v>33</v>
      </c>
      <c r="C268" s="14" t="s">
        <v>375</v>
      </c>
    </row>
    <row r="269" spans="1:3" ht="14" customHeight="1" x14ac:dyDescent="0.35">
      <c r="A269" s="20" t="s">
        <v>389</v>
      </c>
      <c r="B269" s="20" t="s">
        <v>33</v>
      </c>
      <c r="C269" s="14" t="s">
        <v>375</v>
      </c>
    </row>
    <row r="270" spans="1:3" ht="14" customHeight="1" x14ac:dyDescent="0.35">
      <c r="A270" s="20" t="s">
        <v>965</v>
      </c>
      <c r="B270" s="20" t="s">
        <v>33</v>
      </c>
      <c r="C270" s="14" t="s">
        <v>375</v>
      </c>
    </row>
    <row r="271" spans="1:3" ht="14" customHeight="1" x14ac:dyDescent="0.35">
      <c r="A271" s="20" t="s">
        <v>966</v>
      </c>
      <c r="B271" s="20" t="s">
        <v>33</v>
      </c>
      <c r="C271" s="14" t="s">
        <v>375</v>
      </c>
    </row>
    <row r="272" spans="1:3" ht="14" customHeight="1" x14ac:dyDescent="0.35">
      <c r="A272" s="20" t="s">
        <v>967</v>
      </c>
      <c r="B272" s="20" t="s">
        <v>485</v>
      </c>
      <c r="C272" s="14" t="s">
        <v>375</v>
      </c>
    </row>
    <row r="273" spans="1:3" ht="14" customHeight="1" x14ac:dyDescent="0.35">
      <c r="A273" s="20" t="s">
        <v>967</v>
      </c>
      <c r="B273" s="20" t="s">
        <v>489</v>
      </c>
      <c r="C273" s="14" t="s">
        <v>375</v>
      </c>
    </row>
    <row r="274" spans="1:3" ht="14" customHeight="1" x14ac:dyDescent="0.35">
      <c r="A274" s="20" t="s">
        <v>392</v>
      </c>
      <c r="B274" s="20" t="s">
        <v>33</v>
      </c>
      <c r="C274" s="14" t="s">
        <v>375</v>
      </c>
    </row>
    <row r="275" spans="1:3" ht="14" customHeight="1" x14ac:dyDescent="0.35">
      <c r="A275" s="20" t="s">
        <v>968</v>
      </c>
      <c r="B275" s="20" t="s">
        <v>33</v>
      </c>
      <c r="C275" s="14" t="s">
        <v>375</v>
      </c>
    </row>
    <row r="276" spans="1:3" ht="14" customHeight="1" x14ac:dyDescent="0.35">
      <c r="A276" s="20" t="s">
        <v>969</v>
      </c>
      <c r="B276" s="20" t="s">
        <v>33</v>
      </c>
      <c r="C276" s="14" t="s">
        <v>375</v>
      </c>
    </row>
    <row r="277" spans="1:3" ht="14" customHeight="1" x14ac:dyDescent="0.35">
      <c r="A277" s="20" t="s">
        <v>970</v>
      </c>
      <c r="B277" s="20" t="s">
        <v>797</v>
      </c>
      <c r="C277" s="14" t="s">
        <v>375</v>
      </c>
    </row>
    <row r="278" spans="1:3" ht="14" customHeight="1" x14ac:dyDescent="0.35">
      <c r="A278" s="20" t="s">
        <v>970</v>
      </c>
      <c r="B278" s="20" t="s">
        <v>801</v>
      </c>
      <c r="C278" s="14" t="s">
        <v>375</v>
      </c>
    </row>
    <row r="279" spans="1:3" ht="14" customHeight="1" x14ac:dyDescent="0.35">
      <c r="A279" s="20" t="s">
        <v>970</v>
      </c>
      <c r="B279" s="20" t="s">
        <v>803</v>
      </c>
      <c r="C279" s="14" t="s">
        <v>375</v>
      </c>
    </row>
    <row r="280" spans="1:3" ht="14" customHeight="1" x14ac:dyDescent="0.35">
      <c r="A280" s="20" t="s">
        <v>971</v>
      </c>
      <c r="B280" s="20" t="s">
        <v>33</v>
      </c>
      <c r="C280" s="14" t="s">
        <v>375</v>
      </c>
    </row>
    <row r="281" spans="1:3" ht="14" customHeight="1" x14ac:dyDescent="0.35">
      <c r="A281" s="20" t="s">
        <v>972</v>
      </c>
      <c r="B281" s="20" t="s">
        <v>33</v>
      </c>
      <c r="C281" s="14" t="s">
        <v>375</v>
      </c>
    </row>
    <row r="282" spans="1:3" ht="14" customHeight="1" x14ac:dyDescent="0.35">
      <c r="A282" s="20" t="s">
        <v>973</v>
      </c>
      <c r="B282" s="20" t="s">
        <v>33</v>
      </c>
      <c r="C282" s="14" t="s">
        <v>375</v>
      </c>
    </row>
    <row r="283" spans="1:3" ht="14" customHeight="1" x14ac:dyDescent="0.35">
      <c r="A283" s="20" t="s">
        <v>974</v>
      </c>
      <c r="B283" s="20" t="s">
        <v>33</v>
      </c>
      <c r="C283" s="14" t="s">
        <v>375</v>
      </c>
    </row>
    <row r="284" spans="1:3" ht="14" customHeight="1" x14ac:dyDescent="0.35">
      <c r="A284" s="20" t="s">
        <v>974</v>
      </c>
      <c r="B284" s="20" t="s">
        <v>866</v>
      </c>
      <c r="C284" s="14" t="s">
        <v>375</v>
      </c>
    </row>
    <row r="285" spans="1:3" ht="14" customHeight="1" x14ac:dyDescent="0.35">
      <c r="A285" s="20" t="s">
        <v>393</v>
      </c>
      <c r="B285" s="20" t="s">
        <v>33</v>
      </c>
      <c r="C285" s="14" t="s">
        <v>375</v>
      </c>
    </row>
    <row r="286" spans="1:3" ht="14" customHeight="1" x14ac:dyDescent="0.35">
      <c r="A286" s="20" t="s">
        <v>394</v>
      </c>
      <c r="B286" s="20" t="s">
        <v>33</v>
      </c>
      <c r="C286" s="14" t="s">
        <v>375</v>
      </c>
    </row>
    <row r="287" spans="1:3" ht="14" customHeight="1" x14ac:dyDescent="0.35">
      <c r="A287" s="20" t="s">
        <v>395</v>
      </c>
      <c r="B287" s="20" t="s">
        <v>33</v>
      </c>
      <c r="C287" s="14" t="s">
        <v>375</v>
      </c>
    </row>
    <row r="288" spans="1:3" ht="14" customHeight="1" x14ac:dyDescent="0.35">
      <c r="A288" s="20" t="s">
        <v>396</v>
      </c>
      <c r="B288" s="20" t="s">
        <v>33</v>
      </c>
      <c r="C288" s="14" t="s">
        <v>375</v>
      </c>
    </row>
    <row r="289" spans="1:3" ht="14" customHeight="1" x14ac:dyDescent="0.35">
      <c r="A289" s="20" t="s">
        <v>397</v>
      </c>
      <c r="B289" s="20" t="s">
        <v>33</v>
      </c>
      <c r="C289" s="14" t="s">
        <v>375</v>
      </c>
    </row>
    <row r="290" spans="1:3" ht="14" customHeight="1" x14ac:dyDescent="0.35">
      <c r="A290" s="20" t="s">
        <v>398</v>
      </c>
      <c r="B290" s="20" t="s">
        <v>33</v>
      </c>
      <c r="C290" s="14" t="s">
        <v>375</v>
      </c>
    </row>
    <row r="291" spans="1:3" ht="14" customHeight="1" x14ac:dyDescent="0.35">
      <c r="A291" s="20" t="s">
        <v>399</v>
      </c>
      <c r="B291" s="20" t="s">
        <v>33</v>
      </c>
      <c r="C291" s="14" t="s">
        <v>375</v>
      </c>
    </row>
    <row r="292" spans="1:3" ht="14" customHeight="1" x14ac:dyDescent="0.35">
      <c r="A292" s="20" t="s">
        <v>400</v>
      </c>
      <c r="B292" s="20" t="s">
        <v>33</v>
      </c>
      <c r="C292" s="14" t="s">
        <v>375</v>
      </c>
    </row>
    <row r="293" spans="1:3" ht="14" customHeight="1" x14ac:dyDescent="0.35">
      <c r="A293" s="20" t="s">
        <v>401</v>
      </c>
      <c r="B293" s="20" t="s">
        <v>33</v>
      </c>
      <c r="C293" s="14" t="s">
        <v>375</v>
      </c>
    </row>
    <row r="294" spans="1:3" ht="14" customHeight="1" x14ac:dyDescent="0.35">
      <c r="A294" s="20" t="s">
        <v>402</v>
      </c>
      <c r="B294" s="20" t="s">
        <v>33</v>
      </c>
      <c r="C294" s="14" t="s">
        <v>375</v>
      </c>
    </row>
    <row r="295" spans="1:3" ht="14" customHeight="1" x14ac:dyDescent="0.35">
      <c r="A295" s="20" t="s">
        <v>403</v>
      </c>
      <c r="B295" s="20" t="s">
        <v>33</v>
      </c>
      <c r="C295" s="14" t="s">
        <v>375</v>
      </c>
    </row>
    <row r="296" spans="1:3" ht="14" customHeight="1" x14ac:dyDescent="0.35">
      <c r="A296" s="20" t="s">
        <v>404</v>
      </c>
      <c r="B296" s="20" t="s">
        <v>33</v>
      </c>
      <c r="C296" s="14" t="s">
        <v>375</v>
      </c>
    </row>
    <row r="297" spans="1:3" ht="14" customHeight="1" x14ac:dyDescent="0.35">
      <c r="A297" s="20" t="s">
        <v>975</v>
      </c>
      <c r="B297" s="20" t="s">
        <v>906</v>
      </c>
      <c r="C297" s="14" t="s">
        <v>375</v>
      </c>
    </row>
    <row r="298" spans="1:3" ht="14" customHeight="1" x14ac:dyDescent="0.35">
      <c r="A298" s="20" t="s">
        <v>976</v>
      </c>
      <c r="B298" s="20" t="s">
        <v>901</v>
      </c>
      <c r="C298" s="14" t="s">
        <v>375</v>
      </c>
    </row>
    <row r="299" spans="1:3" ht="14" customHeight="1" x14ac:dyDescent="0.35">
      <c r="A299" s="20" t="s">
        <v>977</v>
      </c>
      <c r="B299" s="20" t="s">
        <v>33</v>
      </c>
      <c r="C299" s="14" t="s">
        <v>375</v>
      </c>
    </row>
    <row r="300" spans="1:3" ht="14" customHeight="1" x14ac:dyDescent="0.35">
      <c r="A300" s="20" t="s">
        <v>978</v>
      </c>
      <c r="B300" s="20" t="s">
        <v>33</v>
      </c>
      <c r="C300" s="14" t="s">
        <v>375</v>
      </c>
    </row>
    <row r="301" spans="1:3" ht="14" customHeight="1" x14ac:dyDescent="0.35">
      <c r="A301" s="20" t="s">
        <v>979</v>
      </c>
      <c r="B301" s="20" t="s">
        <v>33</v>
      </c>
      <c r="C301" s="14" t="s">
        <v>375</v>
      </c>
    </row>
    <row r="302" spans="1:3" ht="14" customHeight="1" x14ac:dyDescent="0.35">
      <c r="A302" s="20" t="s">
        <v>980</v>
      </c>
      <c r="B302" s="20" t="s">
        <v>937</v>
      </c>
      <c r="C302" s="14" t="s">
        <v>375</v>
      </c>
    </row>
    <row r="303" spans="1:3" ht="14" customHeight="1" x14ac:dyDescent="0.35">
      <c r="A303" s="20" t="s">
        <v>981</v>
      </c>
      <c r="B303" s="20" t="s">
        <v>937</v>
      </c>
      <c r="C303" s="14" t="s">
        <v>375</v>
      </c>
    </row>
    <row r="304" spans="1:3" ht="14" customHeight="1" x14ac:dyDescent="0.35">
      <c r="A304" s="20" t="s">
        <v>982</v>
      </c>
      <c r="B304" s="20" t="s">
        <v>937</v>
      </c>
      <c r="C304" s="14" t="s">
        <v>375</v>
      </c>
    </row>
    <row r="305" spans="1:3" ht="14" customHeight="1" x14ac:dyDescent="0.35">
      <c r="A305" s="20" t="s">
        <v>983</v>
      </c>
      <c r="B305" s="20" t="s">
        <v>33</v>
      </c>
      <c r="C305" s="14" t="s">
        <v>375</v>
      </c>
    </row>
    <row r="306" spans="1:3" ht="14" customHeight="1" x14ac:dyDescent="0.35">
      <c r="A306" s="20" t="s">
        <v>984</v>
      </c>
      <c r="B306" s="20" t="s">
        <v>33</v>
      </c>
      <c r="C306" s="14" t="s">
        <v>375</v>
      </c>
    </row>
    <row r="307" spans="1:3" ht="14" customHeight="1" x14ac:dyDescent="0.35">
      <c r="A307" s="20" t="s">
        <v>985</v>
      </c>
      <c r="B307" s="20" t="s">
        <v>33</v>
      </c>
      <c r="C307" s="14" t="s">
        <v>375</v>
      </c>
    </row>
    <row r="308" spans="1:3" ht="14" customHeight="1" x14ac:dyDescent="0.35">
      <c r="A308" s="20" t="s">
        <v>986</v>
      </c>
      <c r="B308" s="20" t="s">
        <v>33</v>
      </c>
      <c r="C308" s="14" t="s">
        <v>375</v>
      </c>
    </row>
    <row r="309" spans="1:3" ht="14" customHeight="1" x14ac:dyDescent="0.35">
      <c r="A309" s="20" t="s">
        <v>987</v>
      </c>
      <c r="B309" s="20" t="s">
        <v>33</v>
      </c>
      <c r="C309" s="14" t="s">
        <v>375</v>
      </c>
    </row>
    <row r="310" spans="1:3" ht="14" customHeight="1" x14ac:dyDescent="0.35">
      <c r="A310" s="20" t="s">
        <v>988</v>
      </c>
      <c r="B310" s="20" t="s">
        <v>33</v>
      </c>
      <c r="C310" s="14" t="s">
        <v>375</v>
      </c>
    </row>
  </sheetData>
  <phoneticPr fontId="1" type="noConversion"/>
  <hyperlinks>
    <hyperlink ref="A174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ABDA-DD7F-4585-AA15-60CCDBF10E07}">
  <sheetPr>
    <outlinePr summaryBelow="0" summaryRight="0"/>
  </sheetPr>
  <dimension ref="A1:AN117"/>
  <sheetViews>
    <sheetView workbookViewId="0"/>
  </sheetViews>
  <sheetFormatPr defaultColWidth="8.84375" defaultRowHeight="14" customHeight="1" x14ac:dyDescent="0.35"/>
  <cols>
    <col min="1" max="1" width="47.15234375" style="30" customWidth="1"/>
    <col min="2" max="2" width="23.15234375" style="30" customWidth="1"/>
    <col min="3" max="3" width="13.84375" style="30" customWidth="1"/>
    <col min="4" max="4" width="11.4609375" style="30" customWidth="1"/>
    <col min="5" max="6" width="23" style="30" customWidth="1"/>
    <col min="7" max="7" width="13.15234375" style="30" customWidth="1"/>
    <col min="8" max="9" width="23" style="30" customWidth="1"/>
    <col min="10" max="10" width="59.84375" style="30" customWidth="1"/>
    <col min="11" max="40" width="8.69140625" style="30"/>
  </cols>
  <sheetData>
    <row r="1" spans="1:10" ht="14" customHeight="1" x14ac:dyDescent="0.35">
      <c r="A1" s="36" t="s">
        <v>0</v>
      </c>
      <c r="B1" s="20"/>
    </row>
    <row r="2" spans="1:10" ht="14" customHeight="1" x14ac:dyDescent="0.35">
      <c r="A2" s="27" t="s">
        <v>1</v>
      </c>
      <c r="B2" s="14" t="s">
        <v>989</v>
      </c>
    </row>
    <row r="3" spans="1:10" ht="14" customHeight="1" x14ac:dyDescent="0.35">
      <c r="A3" s="27" t="s">
        <v>3</v>
      </c>
      <c r="B3" s="14" t="s">
        <v>990</v>
      </c>
    </row>
    <row r="4" spans="1:10" ht="14" customHeight="1" x14ac:dyDescent="0.35">
      <c r="A4" s="27" t="s">
        <v>5</v>
      </c>
      <c r="B4" s="14" t="s">
        <v>991</v>
      </c>
    </row>
    <row r="5" spans="1:10" ht="14" customHeight="1" x14ac:dyDescent="0.35">
      <c r="A5" s="27" t="s">
        <v>7</v>
      </c>
      <c r="B5" s="14" t="s">
        <v>992</v>
      </c>
    </row>
    <row r="6" spans="1:10" ht="14" customHeight="1" x14ac:dyDescent="0.35">
      <c r="A6" s="27" t="s">
        <v>9</v>
      </c>
      <c r="B6" s="14" t="s">
        <v>993</v>
      </c>
    </row>
    <row r="7" spans="1:10" ht="14" customHeight="1" x14ac:dyDescent="0.35">
      <c r="A7" s="27" t="s">
        <v>11</v>
      </c>
      <c r="B7" s="14" t="s">
        <v>994</v>
      </c>
    </row>
    <row r="8" spans="1:10" ht="14" customHeight="1" x14ac:dyDescent="0.35">
      <c r="A8" s="35" t="s">
        <v>13</v>
      </c>
      <c r="B8" s="14" t="s">
        <v>995</v>
      </c>
    </row>
    <row r="9" spans="1:10" ht="14.25" customHeight="1" x14ac:dyDescent="0.3">
      <c r="A9" s="27" t="s">
        <v>15</v>
      </c>
      <c r="B9" s="24" t="s">
        <v>16</v>
      </c>
    </row>
    <row r="10" spans="1:10" ht="14.25" customHeight="1" x14ac:dyDescent="0.3">
      <c r="A10" s="27" t="s">
        <v>996</v>
      </c>
      <c r="B10" s="24" t="s">
        <v>18</v>
      </c>
    </row>
    <row r="11" spans="1:10" ht="14.25" customHeight="1" x14ac:dyDescent="0.3">
      <c r="A11" s="27" t="s">
        <v>19</v>
      </c>
      <c r="B11" s="24" t="s">
        <v>20</v>
      </c>
    </row>
    <row r="12" spans="1:10" ht="14.25" customHeight="1" x14ac:dyDescent="0.3">
      <c r="A12" s="27" t="s">
        <v>21</v>
      </c>
      <c r="B12" s="24" t="s">
        <v>22</v>
      </c>
    </row>
    <row r="16" spans="1:10" ht="14" customHeight="1" x14ac:dyDescent="0.35">
      <c r="A16" s="36" t="s">
        <v>23</v>
      </c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70" customHeight="1" x14ac:dyDescent="0.35">
      <c r="A17" s="36" t="s">
        <v>24</v>
      </c>
      <c r="B17" s="36" t="s">
        <v>25</v>
      </c>
      <c r="C17" s="36" t="s">
        <v>26</v>
      </c>
      <c r="D17" s="36" t="s">
        <v>27</v>
      </c>
      <c r="E17" s="36" t="s">
        <v>997</v>
      </c>
      <c r="F17" s="36" t="s">
        <v>998</v>
      </c>
      <c r="G17" s="36" t="s">
        <v>28</v>
      </c>
      <c r="H17" s="34" t="s">
        <v>999</v>
      </c>
      <c r="I17" s="34" t="s">
        <v>1000</v>
      </c>
      <c r="J17" s="36" t="s">
        <v>31</v>
      </c>
    </row>
    <row r="18" spans="1:10" ht="14" customHeight="1" x14ac:dyDescent="0.35">
      <c r="A18" s="32" t="s">
        <v>415</v>
      </c>
      <c r="B18" s="20" t="s">
        <v>33</v>
      </c>
      <c r="C18" s="20" t="s">
        <v>23</v>
      </c>
      <c r="D18" s="20" t="s">
        <v>58</v>
      </c>
      <c r="E18" s="31" t="s">
        <v>1001</v>
      </c>
      <c r="F18" s="31" t="s">
        <v>1002</v>
      </c>
      <c r="G18" s="20" t="s">
        <v>416</v>
      </c>
      <c r="H18" s="19">
        <f t="shared" ref="H18:H53" si="0">E18/F18</f>
        <v>0.98121986295575658</v>
      </c>
      <c r="I18" s="19">
        <f t="shared" ref="I18:I53" si="1">E18/G18</f>
        <v>1.0235917046624503</v>
      </c>
      <c r="J18" s="20"/>
    </row>
    <row r="19" spans="1:10" ht="14" customHeight="1" x14ac:dyDescent="0.35">
      <c r="A19" s="32" t="s">
        <v>418</v>
      </c>
      <c r="B19" s="20" t="s">
        <v>33</v>
      </c>
      <c r="C19" s="20" t="s">
        <v>23</v>
      </c>
      <c r="D19" s="20" t="s">
        <v>58</v>
      </c>
      <c r="E19" s="31" t="s">
        <v>1003</v>
      </c>
      <c r="F19" s="31" t="s">
        <v>1004</v>
      </c>
      <c r="G19" s="20" t="s">
        <v>419</v>
      </c>
      <c r="H19" s="19">
        <f t="shared" si="0"/>
        <v>1.002449415285495</v>
      </c>
      <c r="I19" s="2">
        <f t="shared" si="1"/>
        <v>1.1940332394877851</v>
      </c>
      <c r="J19" s="8" t="s">
        <v>1005</v>
      </c>
    </row>
    <row r="20" spans="1:10" ht="14" customHeight="1" x14ac:dyDescent="0.35">
      <c r="A20" s="32" t="s">
        <v>421</v>
      </c>
      <c r="B20" s="20" t="s">
        <v>33</v>
      </c>
      <c r="C20" s="20" t="s">
        <v>23</v>
      </c>
      <c r="D20" s="20" t="s">
        <v>58</v>
      </c>
      <c r="E20" s="31" t="s">
        <v>1006</v>
      </c>
      <c r="F20" s="31" t="s">
        <v>1007</v>
      </c>
      <c r="G20" s="20" t="s">
        <v>422</v>
      </c>
      <c r="H20" s="19">
        <f t="shared" si="0"/>
        <v>0.99847498849668048</v>
      </c>
      <c r="I20" s="19">
        <f t="shared" si="1"/>
        <v>1.0441949831235522</v>
      </c>
      <c r="J20" s="20"/>
    </row>
    <row r="21" spans="1:10" ht="14" customHeight="1" x14ac:dyDescent="0.35">
      <c r="A21" s="32" t="s">
        <v>424</v>
      </c>
      <c r="B21" s="20" t="s">
        <v>33</v>
      </c>
      <c r="C21" s="20" t="s">
        <v>23</v>
      </c>
      <c r="D21" s="20" t="s">
        <v>58</v>
      </c>
      <c r="E21" s="31" t="s">
        <v>1008</v>
      </c>
      <c r="F21" s="31" t="s">
        <v>1009</v>
      </c>
      <c r="G21" s="20" t="s">
        <v>425</v>
      </c>
      <c r="H21" s="19">
        <f t="shared" si="0"/>
        <v>1.0006663896576327</v>
      </c>
      <c r="I21" s="19">
        <f t="shared" si="1"/>
        <v>1.0493525712171661</v>
      </c>
      <c r="J21" s="20"/>
    </row>
    <row r="22" spans="1:10" ht="14" customHeight="1" x14ac:dyDescent="0.35">
      <c r="A22" s="32" t="s">
        <v>427</v>
      </c>
      <c r="B22" s="20" t="s">
        <v>33</v>
      </c>
      <c r="C22" s="20" t="s">
        <v>23</v>
      </c>
      <c r="D22" s="20" t="s">
        <v>58</v>
      </c>
      <c r="E22" s="31" t="s">
        <v>1010</v>
      </c>
      <c r="F22" s="31" t="s">
        <v>1011</v>
      </c>
      <c r="G22" s="20" t="s">
        <v>428</v>
      </c>
      <c r="H22" s="19">
        <f t="shared" si="0"/>
        <v>1.0017155584581419</v>
      </c>
      <c r="I22" s="19">
        <f t="shared" si="1"/>
        <v>1.0019059968217137</v>
      </c>
      <c r="J22" s="20"/>
    </row>
    <row r="23" spans="1:10" ht="14" customHeight="1" x14ac:dyDescent="0.35">
      <c r="A23" s="32" t="s">
        <v>430</v>
      </c>
      <c r="B23" s="20" t="s">
        <v>33</v>
      </c>
      <c r="C23" s="20" t="s">
        <v>23</v>
      </c>
      <c r="D23" s="20" t="s">
        <v>58</v>
      </c>
      <c r="E23" s="31" t="s">
        <v>1012</v>
      </c>
      <c r="F23" s="31" t="s">
        <v>1013</v>
      </c>
      <c r="G23" s="20" t="s">
        <v>431</v>
      </c>
      <c r="H23" s="19">
        <f t="shared" si="0"/>
        <v>0.99895094433945453</v>
      </c>
      <c r="I23" s="19">
        <f t="shared" si="1"/>
        <v>1.0699914001525255</v>
      </c>
      <c r="J23" s="20"/>
    </row>
    <row r="24" spans="1:10" ht="14" customHeight="1" x14ac:dyDescent="0.35">
      <c r="A24" s="32" t="s">
        <v>433</v>
      </c>
      <c r="B24" s="20" t="s">
        <v>33</v>
      </c>
      <c r="C24" s="20" t="s">
        <v>23</v>
      </c>
      <c r="D24" s="20" t="s">
        <v>58</v>
      </c>
      <c r="E24" s="31" t="s">
        <v>1014</v>
      </c>
      <c r="F24" s="31" t="s">
        <v>1015</v>
      </c>
      <c r="G24" s="20" t="s">
        <v>434</v>
      </c>
      <c r="H24" s="19">
        <f t="shared" si="0"/>
        <v>1.001595064207407</v>
      </c>
      <c r="I24" s="19">
        <f t="shared" si="1"/>
        <v>0.98755408663441435</v>
      </c>
      <c r="J24" s="20"/>
    </row>
    <row r="25" spans="1:10" ht="14" customHeight="1" x14ac:dyDescent="0.35">
      <c r="A25" s="32" t="s">
        <v>436</v>
      </c>
      <c r="B25" s="20" t="s">
        <v>33</v>
      </c>
      <c r="C25" s="20" t="s">
        <v>23</v>
      </c>
      <c r="D25" s="20" t="s">
        <v>58</v>
      </c>
      <c r="E25" s="31" t="s">
        <v>1016</v>
      </c>
      <c r="F25" s="31" t="s">
        <v>1017</v>
      </c>
      <c r="G25" s="20" t="s">
        <v>437</v>
      </c>
      <c r="H25" s="19">
        <f t="shared" si="0"/>
        <v>0.99690012399504013</v>
      </c>
      <c r="I25" s="2">
        <f t="shared" si="1"/>
        <v>1.1615286030525458</v>
      </c>
      <c r="J25" s="8" t="s">
        <v>1005</v>
      </c>
    </row>
    <row r="26" spans="1:10" ht="14" customHeight="1" x14ac:dyDescent="0.35">
      <c r="A26" s="32" t="s">
        <v>439</v>
      </c>
      <c r="B26" s="20" t="s">
        <v>33</v>
      </c>
      <c r="C26" s="20" t="s">
        <v>23</v>
      </c>
      <c r="D26" s="20" t="s">
        <v>58</v>
      </c>
      <c r="E26" s="31" t="s">
        <v>1018</v>
      </c>
      <c r="F26" s="31" t="s">
        <v>1019</v>
      </c>
      <c r="G26" s="20" t="s">
        <v>440</v>
      </c>
      <c r="H26" s="19">
        <f t="shared" si="0"/>
        <v>0.9995140624915636</v>
      </c>
      <c r="I26" s="19">
        <f t="shared" si="1"/>
        <v>1.0380698704648685</v>
      </c>
      <c r="J26" s="20"/>
    </row>
    <row r="27" spans="1:10" ht="14" customHeight="1" x14ac:dyDescent="0.35">
      <c r="A27" s="32" t="s">
        <v>442</v>
      </c>
      <c r="B27" s="20" t="s">
        <v>33</v>
      </c>
      <c r="C27" s="20" t="s">
        <v>23</v>
      </c>
      <c r="D27" s="20" t="s">
        <v>58</v>
      </c>
      <c r="E27" s="31" t="s">
        <v>1020</v>
      </c>
      <c r="F27" s="31" t="s">
        <v>1021</v>
      </c>
      <c r="G27" s="20" t="s">
        <v>443</v>
      </c>
      <c r="H27" s="19">
        <f t="shared" si="0"/>
        <v>0.99952057914039838</v>
      </c>
      <c r="I27" s="19">
        <f t="shared" si="1"/>
        <v>1.057675356547215</v>
      </c>
      <c r="J27" s="20"/>
    </row>
    <row r="28" spans="1:10" ht="14" customHeight="1" x14ac:dyDescent="0.35">
      <c r="A28" s="32" t="s">
        <v>445</v>
      </c>
      <c r="B28" s="20" t="s">
        <v>33</v>
      </c>
      <c r="C28" s="20" t="s">
        <v>23</v>
      </c>
      <c r="D28" s="20" t="s">
        <v>58</v>
      </c>
      <c r="E28" s="31" t="s">
        <v>1022</v>
      </c>
      <c r="F28" s="31" t="s">
        <v>1023</v>
      </c>
      <c r="G28" s="20" t="s">
        <v>446</v>
      </c>
      <c r="H28" s="19">
        <f t="shared" si="0"/>
        <v>0.97929338682541733</v>
      </c>
      <c r="I28" s="19">
        <f t="shared" si="1"/>
        <v>1.052531528189911</v>
      </c>
      <c r="J28" s="20"/>
    </row>
    <row r="29" spans="1:10" ht="14" customHeight="1" x14ac:dyDescent="0.35">
      <c r="A29" s="32" t="s">
        <v>448</v>
      </c>
      <c r="B29" s="20" t="s">
        <v>449</v>
      </c>
      <c r="C29" s="20" t="s">
        <v>23</v>
      </c>
      <c r="D29" s="20" t="s">
        <v>58</v>
      </c>
      <c r="E29" s="31" t="s">
        <v>1024</v>
      </c>
      <c r="F29" s="31" t="s">
        <v>1025</v>
      </c>
      <c r="G29" s="20">
        <v>1942.54</v>
      </c>
      <c r="H29" s="31">
        <f t="shared" si="0"/>
        <v>1.0055166548736962</v>
      </c>
      <c r="I29" s="12">
        <f t="shared" si="1"/>
        <v>4.6380357676032409</v>
      </c>
      <c r="J29" s="20" t="s">
        <v>1026</v>
      </c>
    </row>
    <row r="30" spans="1:10" ht="14" customHeight="1" x14ac:dyDescent="0.35">
      <c r="A30" s="32" t="s">
        <v>451</v>
      </c>
      <c r="B30" s="20" t="s">
        <v>449</v>
      </c>
      <c r="C30" s="20" t="s">
        <v>23</v>
      </c>
      <c r="D30" s="20" t="s">
        <v>58</v>
      </c>
      <c r="E30" s="31" t="s">
        <v>1027</v>
      </c>
      <c r="F30" s="31" t="s">
        <v>1028</v>
      </c>
      <c r="G30" s="20">
        <v>2935.33</v>
      </c>
      <c r="H30" s="31">
        <f t="shared" si="0"/>
        <v>1.011090429657205</v>
      </c>
      <c r="I30" s="12">
        <f t="shared" si="1"/>
        <v>3.5531269056630772</v>
      </c>
      <c r="J30" s="20" t="s">
        <v>1026</v>
      </c>
    </row>
    <row r="31" spans="1:10" ht="14" customHeight="1" x14ac:dyDescent="0.35">
      <c r="A31" s="32" t="s">
        <v>456</v>
      </c>
      <c r="B31" s="20" t="s">
        <v>33</v>
      </c>
      <c r="C31" s="20" t="s">
        <v>23</v>
      </c>
      <c r="D31" s="20" t="s">
        <v>58</v>
      </c>
      <c r="E31" s="31" t="s">
        <v>1029</v>
      </c>
      <c r="F31" s="31" t="s">
        <v>1030</v>
      </c>
      <c r="G31" s="20" t="s">
        <v>457</v>
      </c>
      <c r="H31" s="19">
        <f t="shared" si="0"/>
        <v>0.99535700840757935</v>
      </c>
      <c r="I31" s="2">
        <f t="shared" si="1"/>
        <v>0.82154324184360428</v>
      </c>
      <c r="J31" s="20" t="s">
        <v>1031</v>
      </c>
    </row>
    <row r="32" spans="1:10" ht="14" customHeight="1" x14ac:dyDescent="0.35">
      <c r="A32" s="32" t="s">
        <v>551</v>
      </c>
      <c r="B32" s="20" t="s">
        <v>33</v>
      </c>
      <c r="C32" s="20" t="s">
        <v>23</v>
      </c>
      <c r="D32" s="20" t="s">
        <v>552</v>
      </c>
      <c r="E32" s="31" t="s">
        <v>707</v>
      </c>
      <c r="F32" s="31" t="s">
        <v>1032</v>
      </c>
      <c r="G32" s="20" t="s">
        <v>504</v>
      </c>
      <c r="H32" s="19">
        <f t="shared" si="0"/>
        <v>1.0487804878048779</v>
      </c>
      <c r="I32" s="19">
        <f t="shared" si="1"/>
        <v>0.95555555555555549</v>
      </c>
      <c r="J32" s="20"/>
    </row>
    <row r="33" spans="1:10" ht="14" customHeight="1" x14ac:dyDescent="0.35">
      <c r="A33" s="32" t="s">
        <v>553</v>
      </c>
      <c r="B33" s="20" t="s">
        <v>33</v>
      </c>
      <c r="C33" s="20" t="s">
        <v>23</v>
      </c>
      <c r="D33" s="20" t="s">
        <v>552</v>
      </c>
      <c r="E33" s="31" t="s">
        <v>1033</v>
      </c>
      <c r="F33" s="31" t="s">
        <v>1034</v>
      </c>
      <c r="G33" s="20" t="s">
        <v>554</v>
      </c>
      <c r="H33" s="19">
        <f t="shared" si="0"/>
        <v>1.0238095238095237</v>
      </c>
      <c r="I33" s="2">
        <f t="shared" si="1"/>
        <v>0.88356164383561653</v>
      </c>
      <c r="J33" s="20" t="s">
        <v>1031</v>
      </c>
    </row>
    <row r="34" spans="1:10" ht="14" customHeight="1" x14ac:dyDescent="0.35">
      <c r="A34" s="32" t="s">
        <v>556</v>
      </c>
      <c r="B34" s="20" t="s">
        <v>33</v>
      </c>
      <c r="C34" s="20" t="s">
        <v>23</v>
      </c>
      <c r="D34" s="20" t="s">
        <v>552</v>
      </c>
      <c r="E34" s="31" t="s">
        <v>1035</v>
      </c>
      <c r="F34" s="31" t="s">
        <v>1036</v>
      </c>
      <c r="G34" s="20" t="s">
        <v>557</v>
      </c>
      <c r="H34" s="19">
        <f t="shared" si="0"/>
        <v>1.0117096018735363</v>
      </c>
      <c r="I34" s="19">
        <f t="shared" si="1"/>
        <v>0.90566037735849059</v>
      </c>
      <c r="J34" s="20"/>
    </row>
    <row r="35" spans="1:10" ht="14" customHeight="1" x14ac:dyDescent="0.35">
      <c r="A35" s="32" t="s">
        <v>206</v>
      </c>
      <c r="B35" s="20" t="s">
        <v>33</v>
      </c>
      <c r="C35" s="20" t="s">
        <v>23</v>
      </c>
      <c r="D35" s="20" t="s">
        <v>34</v>
      </c>
      <c r="E35" s="31" t="s">
        <v>1037</v>
      </c>
      <c r="F35" s="31" t="s">
        <v>1038</v>
      </c>
      <c r="G35" s="20" t="s">
        <v>569</v>
      </c>
      <c r="H35" s="19">
        <f t="shared" si="0"/>
        <v>1.003392705682782</v>
      </c>
      <c r="I35" s="19">
        <f t="shared" si="1"/>
        <v>0.9517296862429605</v>
      </c>
      <c r="J35" s="20"/>
    </row>
    <row r="36" spans="1:10" ht="14" customHeight="1" x14ac:dyDescent="0.35">
      <c r="A36" s="32" t="s">
        <v>639</v>
      </c>
      <c r="B36" s="20" t="s">
        <v>33</v>
      </c>
      <c r="C36" s="20" t="s">
        <v>23</v>
      </c>
      <c r="D36" s="20" t="s">
        <v>58</v>
      </c>
      <c r="E36" s="31" t="s">
        <v>1039</v>
      </c>
      <c r="F36" s="31" t="s">
        <v>1040</v>
      </c>
      <c r="G36" s="20" t="s">
        <v>640</v>
      </c>
      <c r="H36" s="19">
        <f t="shared" si="0"/>
        <v>1.0089392079020894</v>
      </c>
      <c r="I36" s="19">
        <f t="shared" si="1"/>
        <v>0.95554555239109296</v>
      </c>
      <c r="J36" s="20"/>
    </row>
    <row r="37" spans="1:10" ht="14" customHeight="1" x14ac:dyDescent="0.35">
      <c r="A37" s="32" t="s">
        <v>642</v>
      </c>
      <c r="B37" s="20" t="s">
        <v>33</v>
      </c>
      <c r="C37" s="20" t="s">
        <v>23</v>
      </c>
      <c r="D37" s="20" t="s">
        <v>58</v>
      </c>
      <c r="E37" s="31" t="s">
        <v>1041</v>
      </c>
      <c r="F37" s="31" t="s">
        <v>1042</v>
      </c>
      <c r="G37" s="20" t="s">
        <v>643</v>
      </c>
      <c r="H37" s="19">
        <f t="shared" si="0"/>
        <v>1.0024177694034406</v>
      </c>
      <c r="I37" s="19">
        <f t="shared" si="1"/>
        <v>1.0534648063769814</v>
      </c>
      <c r="J37" s="14" t="s">
        <v>645</v>
      </c>
    </row>
    <row r="38" spans="1:10" ht="14" customHeight="1" x14ac:dyDescent="0.35">
      <c r="A38" s="32" t="s">
        <v>646</v>
      </c>
      <c r="B38" s="20" t="s">
        <v>33</v>
      </c>
      <c r="C38" s="20" t="s">
        <v>23</v>
      </c>
      <c r="D38" s="20" t="s">
        <v>58</v>
      </c>
      <c r="E38" s="31" t="s">
        <v>1043</v>
      </c>
      <c r="F38" s="31" t="s">
        <v>1044</v>
      </c>
      <c r="G38" s="20" t="s">
        <v>647</v>
      </c>
      <c r="H38" s="19">
        <f t="shared" si="0"/>
        <v>0.96320086260012316</v>
      </c>
      <c r="I38" s="19">
        <f t="shared" si="1"/>
        <v>1.0035145718320708</v>
      </c>
      <c r="J38" s="20"/>
    </row>
    <row r="39" spans="1:10" ht="14" customHeight="1" x14ac:dyDescent="0.35">
      <c r="A39" s="32" t="s">
        <v>649</v>
      </c>
      <c r="B39" s="20" t="s">
        <v>33</v>
      </c>
      <c r="C39" s="20" t="s">
        <v>23</v>
      </c>
      <c r="D39" s="20" t="s">
        <v>58</v>
      </c>
      <c r="E39" s="31" t="s">
        <v>1045</v>
      </c>
      <c r="F39" s="31" t="s">
        <v>1046</v>
      </c>
      <c r="G39" s="20" t="s">
        <v>650</v>
      </c>
      <c r="H39" s="19">
        <f t="shared" si="0"/>
        <v>1.0292347212637067</v>
      </c>
      <c r="I39" s="2">
        <f t="shared" si="1"/>
        <v>1.146698561527536</v>
      </c>
      <c r="J39" s="14" t="s">
        <v>645</v>
      </c>
    </row>
    <row r="40" spans="1:10" ht="14" customHeight="1" x14ac:dyDescent="0.35">
      <c r="A40" s="32" t="s">
        <v>652</v>
      </c>
      <c r="B40" s="20" t="s">
        <v>33</v>
      </c>
      <c r="C40" s="20" t="s">
        <v>23</v>
      </c>
      <c r="D40" s="20" t="s">
        <v>58</v>
      </c>
      <c r="E40" s="31" t="s">
        <v>1047</v>
      </c>
      <c r="F40" s="31" t="s">
        <v>1048</v>
      </c>
      <c r="G40" s="20" t="s">
        <v>653</v>
      </c>
      <c r="H40" s="2">
        <f t="shared" si="0"/>
        <v>1.1154063414717648</v>
      </c>
      <c r="I40" s="2">
        <f t="shared" si="1"/>
        <v>1.1264485049642448</v>
      </c>
      <c r="J40" s="14" t="s">
        <v>645</v>
      </c>
    </row>
    <row r="41" spans="1:10" ht="14" customHeight="1" x14ac:dyDescent="0.35">
      <c r="A41" s="32" t="s">
        <v>655</v>
      </c>
      <c r="B41" s="20" t="s">
        <v>33</v>
      </c>
      <c r="C41" s="20" t="s">
        <v>23</v>
      </c>
      <c r="D41" s="20" t="s">
        <v>58</v>
      </c>
      <c r="E41" s="31" t="s">
        <v>1049</v>
      </c>
      <c r="F41" s="31" t="s">
        <v>1050</v>
      </c>
      <c r="G41" s="20" t="s">
        <v>656</v>
      </c>
      <c r="H41" s="2">
        <f t="shared" si="0"/>
        <v>1.0769222166553341</v>
      </c>
      <c r="I41" s="2">
        <f t="shared" si="1"/>
        <v>1.1542854266007867</v>
      </c>
      <c r="J41" s="14" t="s">
        <v>645</v>
      </c>
    </row>
    <row r="42" spans="1:10" ht="14" customHeight="1" x14ac:dyDescent="0.35">
      <c r="A42" s="32" t="s">
        <v>658</v>
      </c>
      <c r="B42" s="20" t="s">
        <v>33</v>
      </c>
      <c r="C42" s="20" t="s">
        <v>23</v>
      </c>
      <c r="D42" s="20" t="s">
        <v>58</v>
      </c>
      <c r="E42" s="31" t="s">
        <v>1051</v>
      </c>
      <c r="F42" s="31" t="s">
        <v>1052</v>
      </c>
      <c r="G42" s="20" t="s">
        <v>659</v>
      </c>
      <c r="H42" s="19">
        <f t="shared" si="0"/>
        <v>1.023156158030857</v>
      </c>
      <c r="I42" s="2">
        <f t="shared" si="1"/>
        <v>1.1538767135687489</v>
      </c>
      <c r="J42" s="14" t="s">
        <v>645</v>
      </c>
    </row>
    <row r="43" spans="1:10" ht="14" customHeight="1" x14ac:dyDescent="0.35">
      <c r="A43" s="32" t="s">
        <v>661</v>
      </c>
      <c r="B43" s="20" t="s">
        <v>33</v>
      </c>
      <c r="C43" s="20" t="s">
        <v>23</v>
      </c>
      <c r="D43" s="20" t="s">
        <v>58</v>
      </c>
      <c r="E43" s="31" t="s">
        <v>1053</v>
      </c>
      <c r="F43" s="31" t="s">
        <v>1054</v>
      </c>
      <c r="G43" s="20" t="s">
        <v>662</v>
      </c>
      <c r="H43" s="19">
        <f t="shared" si="0"/>
        <v>1.02557132289709</v>
      </c>
      <c r="I43" s="2">
        <f t="shared" si="1"/>
        <v>1.1359550203965825</v>
      </c>
      <c r="J43" s="14" t="s">
        <v>645</v>
      </c>
    </row>
    <row r="44" spans="1:10" ht="14" customHeight="1" x14ac:dyDescent="0.35">
      <c r="A44" s="32" t="s">
        <v>664</v>
      </c>
      <c r="B44" s="20" t="s">
        <v>33</v>
      </c>
      <c r="C44" s="20" t="s">
        <v>23</v>
      </c>
      <c r="D44" s="20" t="s">
        <v>58</v>
      </c>
      <c r="E44" s="31" t="s">
        <v>1055</v>
      </c>
      <c r="F44" s="31" t="s">
        <v>1056</v>
      </c>
      <c r="G44" s="20" t="s">
        <v>665</v>
      </c>
      <c r="H44" s="19">
        <f t="shared" si="0"/>
        <v>1.0251774730163643</v>
      </c>
      <c r="I44" s="2">
        <f t="shared" si="1"/>
        <v>1.1363495049876449</v>
      </c>
      <c r="J44" s="14" t="s">
        <v>645</v>
      </c>
    </row>
    <row r="45" spans="1:10" ht="14" customHeight="1" x14ac:dyDescent="0.35">
      <c r="A45" s="32" t="s">
        <v>667</v>
      </c>
      <c r="B45" s="20" t="s">
        <v>33</v>
      </c>
      <c r="C45" s="20" t="s">
        <v>23</v>
      </c>
      <c r="D45" s="20" t="s">
        <v>58</v>
      </c>
      <c r="E45" s="31" t="s">
        <v>1057</v>
      </c>
      <c r="F45" s="31" t="s">
        <v>1058</v>
      </c>
      <c r="G45" s="20" t="s">
        <v>668</v>
      </c>
      <c r="H45" s="19">
        <f t="shared" si="0"/>
        <v>0.99471107171499729</v>
      </c>
      <c r="I45" s="2">
        <f t="shared" si="1"/>
        <v>1.1026075320385351</v>
      </c>
      <c r="J45" s="14" t="s">
        <v>645</v>
      </c>
    </row>
    <row r="46" spans="1:10" ht="14" customHeight="1" x14ac:dyDescent="0.35">
      <c r="A46" s="32" t="s">
        <v>670</v>
      </c>
      <c r="B46" s="20" t="s">
        <v>33</v>
      </c>
      <c r="C46" s="20" t="s">
        <v>23</v>
      </c>
      <c r="D46" s="20" t="s">
        <v>58</v>
      </c>
      <c r="E46" s="31" t="s">
        <v>1059</v>
      </c>
      <c r="F46" s="31" t="s">
        <v>1060</v>
      </c>
      <c r="G46" s="20" t="s">
        <v>671</v>
      </c>
      <c r="H46" s="19">
        <f t="shared" si="0"/>
        <v>1.0393920213542904</v>
      </c>
      <c r="I46" s="19">
        <f t="shared" si="1"/>
        <v>0.9942549204401</v>
      </c>
      <c r="J46" s="14" t="s">
        <v>645</v>
      </c>
    </row>
    <row r="47" spans="1:10" ht="14" customHeight="1" x14ac:dyDescent="0.35">
      <c r="A47" s="32" t="s">
        <v>673</v>
      </c>
      <c r="B47" s="20" t="s">
        <v>33</v>
      </c>
      <c r="C47" s="20" t="s">
        <v>23</v>
      </c>
      <c r="D47" s="20" t="s">
        <v>58</v>
      </c>
      <c r="E47" s="31" t="s">
        <v>1061</v>
      </c>
      <c r="F47" s="31" t="s">
        <v>1062</v>
      </c>
      <c r="G47" s="20" t="s">
        <v>674</v>
      </c>
      <c r="H47" s="19">
        <f t="shared" si="0"/>
        <v>1.0146582642702275</v>
      </c>
      <c r="I47" s="2">
        <f t="shared" si="1"/>
        <v>1.1313333965938719</v>
      </c>
      <c r="J47" s="14" t="s">
        <v>645</v>
      </c>
    </row>
    <row r="48" spans="1:10" ht="14" customHeight="1" x14ac:dyDescent="0.35">
      <c r="A48" s="32" t="s">
        <v>676</v>
      </c>
      <c r="B48" s="20" t="s">
        <v>33</v>
      </c>
      <c r="C48" s="20" t="s">
        <v>23</v>
      </c>
      <c r="D48" s="20" t="s">
        <v>58</v>
      </c>
      <c r="E48" s="31" t="s">
        <v>1063</v>
      </c>
      <c r="F48" s="31" t="s">
        <v>1064</v>
      </c>
      <c r="G48" s="20" t="s">
        <v>677</v>
      </c>
      <c r="H48" s="19">
        <f t="shared" si="0"/>
        <v>0.97218552677824777</v>
      </c>
      <c r="I48" s="2">
        <f t="shared" si="1"/>
        <v>1.1135156895271279</v>
      </c>
      <c r="J48" s="14" t="s">
        <v>645</v>
      </c>
    </row>
    <row r="49" spans="1:10" ht="14" customHeight="1" x14ac:dyDescent="0.35">
      <c r="A49" s="32" t="s">
        <v>679</v>
      </c>
      <c r="B49" s="20" t="s">
        <v>33</v>
      </c>
      <c r="C49" s="20" t="s">
        <v>23</v>
      </c>
      <c r="D49" s="20" t="s">
        <v>58</v>
      </c>
      <c r="E49" s="31" t="s">
        <v>1065</v>
      </c>
      <c r="F49" s="31" t="s">
        <v>1066</v>
      </c>
      <c r="G49" s="20" t="s">
        <v>680</v>
      </c>
      <c r="H49" s="2">
        <f t="shared" si="0"/>
        <v>1.2708867247565352</v>
      </c>
      <c r="I49" s="2">
        <f t="shared" si="1"/>
        <v>1.1728025226645644</v>
      </c>
      <c r="J49" s="14" t="s">
        <v>645</v>
      </c>
    </row>
    <row r="50" spans="1:10" ht="14" customHeight="1" x14ac:dyDescent="0.35">
      <c r="A50" s="32" t="s">
        <v>682</v>
      </c>
      <c r="B50" s="20" t="s">
        <v>33</v>
      </c>
      <c r="C50" s="20" t="s">
        <v>23</v>
      </c>
      <c r="D50" s="20" t="s">
        <v>58</v>
      </c>
      <c r="E50" s="31" t="s">
        <v>1067</v>
      </c>
      <c r="F50" s="31" t="s">
        <v>1068</v>
      </c>
      <c r="G50" s="20" t="s">
        <v>683</v>
      </c>
      <c r="H50" s="19">
        <f t="shared" si="0"/>
        <v>1.0469100728342369</v>
      </c>
      <c r="I50" s="19">
        <f t="shared" si="1"/>
        <v>0.93993791659648185</v>
      </c>
      <c r="J50" s="20"/>
    </row>
    <row r="51" spans="1:10" ht="14" customHeight="1" x14ac:dyDescent="0.35">
      <c r="A51" s="32" t="s">
        <v>685</v>
      </c>
      <c r="B51" s="20" t="s">
        <v>33</v>
      </c>
      <c r="C51" s="20" t="s">
        <v>23</v>
      </c>
      <c r="D51" s="20" t="s">
        <v>58</v>
      </c>
      <c r="E51" s="31" t="s">
        <v>1069</v>
      </c>
      <c r="F51" s="31" t="s">
        <v>1070</v>
      </c>
      <c r="G51" s="20" t="s">
        <v>686</v>
      </c>
      <c r="H51" s="12">
        <f t="shared" si="0"/>
        <v>1.0923638700394862</v>
      </c>
      <c r="I51" s="19">
        <f t="shared" si="1"/>
        <v>1.0601579553277074</v>
      </c>
      <c r="J51" s="20" t="s">
        <v>688</v>
      </c>
    </row>
    <row r="52" spans="1:10" ht="14" customHeight="1" x14ac:dyDescent="0.35">
      <c r="A52" s="32" t="s">
        <v>689</v>
      </c>
      <c r="B52" s="20" t="s">
        <v>33</v>
      </c>
      <c r="C52" s="20" t="s">
        <v>23</v>
      </c>
      <c r="D52" s="20" t="s">
        <v>58</v>
      </c>
      <c r="E52" s="31" t="s">
        <v>1071</v>
      </c>
      <c r="F52" s="31" t="s">
        <v>1072</v>
      </c>
      <c r="G52" s="20" t="s">
        <v>690</v>
      </c>
      <c r="H52" s="19">
        <f t="shared" si="0"/>
        <v>1.0095752817440027</v>
      </c>
      <c r="I52" s="19">
        <f t="shared" si="1"/>
        <v>1.0619241282752183</v>
      </c>
      <c r="J52" s="20"/>
    </row>
    <row r="53" spans="1:10" ht="14" customHeight="1" x14ac:dyDescent="0.35">
      <c r="A53" s="32" t="s">
        <v>692</v>
      </c>
      <c r="B53" s="20" t="s">
        <v>33</v>
      </c>
      <c r="C53" s="20" t="s">
        <v>23</v>
      </c>
      <c r="D53" s="20" t="s">
        <v>58</v>
      </c>
      <c r="E53" s="31" t="s">
        <v>1073</v>
      </c>
      <c r="F53" s="31" t="s">
        <v>1074</v>
      </c>
      <c r="G53" s="20" t="s">
        <v>693</v>
      </c>
      <c r="H53" s="12">
        <f t="shared" si="0"/>
        <v>1.1668146745496701</v>
      </c>
      <c r="I53" s="19">
        <f t="shared" si="1"/>
        <v>1.0359272803131634</v>
      </c>
      <c r="J53" s="20" t="s">
        <v>688</v>
      </c>
    </row>
    <row r="57" spans="1:10" ht="14" customHeight="1" x14ac:dyDescent="0.35">
      <c r="A57" s="36" t="s">
        <v>273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ht="70" customHeight="1" x14ac:dyDescent="0.35">
      <c r="A58" s="36" t="s">
        <v>24</v>
      </c>
      <c r="B58" s="36" t="s">
        <v>25</v>
      </c>
      <c r="C58" s="36" t="s">
        <v>26</v>
      </c>
      <c r="D58" s="36" t="s">
        <v>27</v>
      </c>
      <c r="E58" s="36" t="s">
        <v>997</v>
      </c>
      <c r="F58" s="36" t="s">
        <v>998</v>
      </c>
      <c r="G58" s="36" t="s">
        <v>28</v>
      </c>
      <c r="H58" s="34" t="s">
        <v>999</v>
      </c>
      <c r="I58" s="34" t="s">
        <v>1075</v>
      </c>
      <c r="J58" s="36" t="s">
        <v>31</v>
      </c>
    </row>
    <row r="59" spans="1:10" ht="14" customHeight="1" x14ac:dyDescent="0.35">
      <c r="A59" s="32" t="s">
        <v>796</v>
      </c>
      <c r="B59" s="20" t="s">
        <v>797</v>
      </c>
      <c r="C59" s="20" t="s">
        <v>273</v>
      </c>
      <c r="D59" s="20" t="s">
        <v>716</v>
      </c>
      <c r="E59" s="31" t="s">
        <v>1076</v>
      </c>
      <c r="F59" s="31" t="s">
        <v>1077</v>
      </c>
      <c r="G59" s="20" t="s">
        <v>798</v>
      </c>
      <c r="H59" s="19">
        <f>E59/F59</f>
        <v>0.99026921829386949</v>
      </c>
      <c r="I59" s="2">
        <f t="shared" ref="I59:I90" si="2">E59/G59</f>
        <v>1.1357886904761905</v>
      </c>
      <c r="J59" s="14" t="s">
        <v>1078</v>
      </c>
    </row>
    <row r="60" spans="1:10" ht="14" customHeight="1" x14ac:dyDescent="0.35">
      <c r="A60" s="32" t="s">
        <v>800</v>
      </c>
      <c r="B60" s="20" t="s">
        <v>801</v>
      </c>
      <c r="C60" s="20" t="s">
        <v>273</v>
      </c>
      <c r="D60" s="20" t="s">
        <v>716</v>
      </c>
      <c r="E60" s="32" t="s">
        <v>1079</v>
      </c>
      <c r="F60" s="31" t="s">
        <v>128</v>
      </c>
      <c r="G60" s="20" t="s">
        <v>802</v>
      </c>
      <c r="H60" s="31" t="s">
        <v>128</v>
      </c>
      <c r="I60" s="19">
        <f t="shared" si="2"/>
        <v>1.0729047108732457</v>
      </c>
      <c r="J60" s="20" t="s">
        <v>211</v>
      </c>
    </row>
    <row r="61" spans="1:10" ht="14" customHeight="1" x14ac:dyDescent="0.35">
      <c r="A61" s="32" t="s">
        <v>800</v>
      </c>
      <c r="B61" s="20" t="s">
        <v>803</v>
      </c>
      <c r="C61" s="20" t="s">
        <v>273</v>
      </c>
      <c r="D61" s="20" t="s">
        <v>716</v>
      </c>
      <c r="E61" s="32" t="s">
        <v>1080</v>
      </c>
      <c r="F61" s="31" t="s">
        <v>128</v>
      </c>
      <c r="G61" s="20" t="s">
        <v>804</v>
      </c>
      <c r="H61" s="31" t="s">
        <v>128</v>
      </c>
      <c r="I61" s="19">
        <f t="shared" si="2"/>
        <v>1.0000143493639646</v>
      </c>
      <c r="J61" s="20" t="s">
        <v>211</v>
      </c>
    </row>
    <row r="62" spans="1:10" ht="14" customHeight="1" x14ac:dyDescent="0.35">
      <c r="A62" s="32" t="s">
        <v>805</v>
      </c>
      <c r="B62" s="20" t="s">
        <v>801</v>
      </c>
      <c r="C62" s="20" t="s">
        <v>273</v>
      </c>
      <c r="D62" s="20" t="s">
        <v>716</v>
      </c>
      <c r="E62" s="32" t="s">
        <v>1081</v>
      </c>
      <c r="F62" s="31" t="s">
        <v>128</v>
      </c>
      <c r="G62" s="20" t="s">
        <v>806</v>
      </c>
      <c r="H62" s="31" t="s">
        <v>128</v>
      </c>
      <c r="I62" s="19">
        <f t="shared" si="2"/>
        <v>1.01317110986363</v>
      </c>
      <c r="J62" s="20" t="s">
        <v>211</v>
      </c>
    </row>
    <row r="63" spans="1:10" ht="14" customHeight="1" x14ac:dyDescent="0.35">
      <c r="A63" s="32" t="s">
        <v>805</v>
      </c>
      <c r="B63" s="20" t="s">
        <v>803</v>
      </c>
      <c r="C63" s="20" t="s">
        <v>273</v>
      </c>
      <c r="D63" s="20" t="s">
        <v>716</v>
      </c>
      <c r="E63" s="32" t="s">
        <v>1082</v>
      </c>
      <c r="F63" s="31" t="s">
        <v>128</v>
      </c>
      <c r="G63" s="20" t="s">
        <v>807</v>
      </c>
      <c r="H63" s="31" t="s">
        <v>128</v>
      </c>
      <c r="I63" s="19">
        <f t="shared" si="2"/>
        <v>0.96597234152207523</v>
      </c>
      <c r="J63" s="20" t="s">
        <v>211</v>
      </c>
    </row>
    <row r="64" spans="1:10" ht="14" customHeight="1" x14ac:dyDescent="0.35">
      <c r="A64" s="32" t="s">
        <v>808</v>
      </c>
      <c r="B64" s="20" t="s">
        <v>797</v>
      </c>
      <c r="C64" s="20" t="s">
        <v>273</v>
      </c>
      <c r="D64" s="20" t="s">
        <v>716</v>
      </c>
      <c r="E64" s="31" t="s">
        <v>1083</v>
      </c>
      <c r="F64" s="31" t="s">
        <v>1084</v>
      </c>
      <c r="G64" s="20" t="s">
        <v>809</v>
      </c>
      <c r="H64" s="19">
        <f>E64/F64</f>
        <v>0.97383743803603751</v>
      </c>
      <c r="I64" s="2">
        <f t="shared" si="2"/>
        <v>1.1343139950508661</v>
      </c>
      <c r="J64" s="14" t="s">
        <v>1078</v>
      </c>
    </row>
    <row r="65" spans="1:10" ht="14" customHeight="1" x14ac:dyDescent="0.35">
      <c r="A65" s="32" t="s">
        <v>811</v>
      </c>
      <c r="B65" s="20" t="s">
        <v>797</v>
      </c>
      <c r="C65" s="20" t="s">
        <v>273</v>
      </c>
      <c r="D65" s="20" t="s">
        <v>716</v>
      </c>
      <c r="E65" s="31" t="s">
        <v>1085</v>
      </c>
      <c r="F65" s="31" t="s">
        <v>1086</v>
      </c>
      <c r="G65" s="20" t="s">
        <v>812</v>
      </c>
      <c r="H65" s="19">
        <f>E65/F65</f>
        <v>0.99557985724575992</v>
      </c>
      <c r="I65" s="19">
        <f t="shared" si="2"/>
        <v>1.0386944157407962</v>
      </c>
      <c r="J65" s="20"/>
    </row>
    <row r="66" spans="1:10" ht="14" customHeight="1" x14ac:dyDescent="0.35">
      <c r="A66" s="32" t="s">
        <v>814</v>
      </c>
      <c r="B66" s="20" t="s">
        <v>797</v>
      </c>
      <c r="C66" s="20" t="s">
        <v>273</v>
      </c>
      <c r="D66" s="20" t="s">
        <v>716</v>
      </c>
      <c r="E66" s="31" t="s">
        <v>1087</v>
      </c>
      <c r="F66" s="31" t="s">
        <v>1088</v>
      </c>
      <c r="G66" s="20" t="s">
        <v>815</v>
      </c>
      <c r="H66" s="19">
        <f>E66/F66</f>
        <v>0.9833985584876509</v>
      </c>
      <c r="I66" s="19">
        <f t="shared" si="2"/>
        <v>1.0588212215689148</v>
      </c>
      <c r="J66" s="20"/>
    </row>
    <row r="67" spans="1:10" ht="14" customHeight="1" x14ac:dyDescent="0.35">
      <c r="A67" s="32" t="s">
        <v>814</v>
      </c>
      <c r="B67" s="20" t="s">
        <v>801</v>
      </c>
      <c r="C67" s="20" t="s">
        <v>273</v>
      </c>
      <c r="D67" s="20" t="s">
        <v>716</v>
      </c>
      <c r="E67" s="32" t="s">
        <v>1089</v>
      </c>
      <c r="F67" s="31" t="s">
        <v>128</v>
      </c>
      <c r="G67" s="20" t="s">
        <v>817</v>
      </c>
      <c r="H67" s="31" t="s">
        <v>128</v>
      </c>
      <c r="I67" s="19">
        <f t="shared" si="2"/>
        <v>1.0333792915070594</v>
      </c>
      <c r="J67" s="20" t="s">
        <v>211</v>
      </c>
    </row>
    <row r="68" spans="1:10" ht="14" customHeight="1" x14ac:dyDescent="0.35">
      <c r="A68" s="32" t="s">
        <v>814</v>
      </c>
      <c r="B68" s="20" t="s">
        <v>803</v>
      </c>
      <c r="C68" s="20" t="s">
        <v>273</v>
      </c>
      <c r="D68" s="20" t="s">
        <v>716</v>
      </c>
      <c r="E68" s="32" t="s">
        <v>1090</v>
      </c>
      <c r="F68" s="31" t="s">
        <v>128</v>
      </c>
      <c r="G68" s="20" t="s">
        <v>818</v>
      </c>
      <c r="H68" s="31" t="s">
        <v>128</v>
      </c>
      <c r="I68" s="19">
        <f t="shared" si="2"/>
        <v>1.0328272227639965</v>
      </c>
      <c r="J68" s="20" t="s">
        <v>211</v>
      </c>
    </row>
    <row r="69" spans="1:10" ht="14" customHeight="1" x14ac:dyDescent="0.35">
      <c r="A69" s="32" t="s">
        <v>819</v>
      </c>
      <c r="B69" s="20" t="s">
        <v>797</v>
      </c>
      <c r="C69" s="20" t="s">
        <v>273</v>
      </c>
      <c r="D69" s="20" t="s">
        <v>716</v>
      </c>
      <c r="E69" s="31" t="s">
        <v>1091</v>
      </c>
      <c r="F69" s="31" t="s">
        <v>1092</v>
      </c>
      <c r="G69" s="20" t="s">
        <v>820</v>
      </c>
      <c r="H69" s="19">
        <f>E69/F69</f>
        <v>0.99521203830369365</v>
      </c>
      <c r="I69" s="2">
        <f t="shared" si="2"/>
        <v>1.1733870967741935</v>
      </c>
      <c r="J69" s="14" t="s">
        <v>1078</v>
      </c>
    </row>
    <row r="70" spans="1:10" ht="14" customHeight="1" x14ac:dyDescent="0.35">
      <c r="A70" s="32" t="s">
        <v>819</v>
      </c>
      <c r="B70" s="20" t="s">
        <v>801</v>
      </c>
      <c r="C70" s="20" t="s">
        <v>273</v>
      </c>
      <c r="D70" s="20" t="s">
        <v>716</v>
      </c>
      <c r="E70" s="32" t="s">
        <v>1093</v>
      </c>
      <c r="F70" s="31" t="s">
        <v>128</v>
      </c>
      <c r="G70" s="20" t="s">
        <v>822</v>
      </c>
      <c r="H70" s="31" t="s">
        <v>128</v>
      </c>
      <c r="I70" s="2">
        <f t="shared" si="2"/>
        <v>1.167753960857409</v>
      </c>
      <c r="J70" s="20" t="s">
        <v>211</v>
      </c>
    </row>
    <row r="71" spans="1:10" ht="14" customHeight="1" x14ac:dyDescent="0.35">
      <c r="A71" s="32" t="s">
        <v>819</v>
      </c>
      <c r="B71" s="20" t="s">
        <v>803</v>
      </c>
      <c r="C71" s="20" t="s">
        <v>273</v>
      </c>
      <c r="D71" s="20" t="s">
        <v>716</v>
      </c>
      <c r="E71" s="32" t="s">
        <v>1094</v>
      </c>
      <c r="F71" s="31" t="s">
        <v>128</v>
      </c>
      <c r="G71" s="20" t="s">
        <v>823</v>
      </c>
      <c r="H71" s="31" t="s">
        <v>128</v>
      </c>
      <c r="I71" s="2">
        <f t="shared" si="2"/>
        <v>1.1679104477611939</v>
      </c>
      <c r="J71" s="20" t="s">
        <v>211</v>
      </c>
    </row>
    <row r="72" spans="1:10" ht="14" customHeight="1" x14ac:dyDescent="0.35">
      <c r="A72" s="32" t="s">
        <v>824</v>
      </c>
      <c r="B72" s="20" t="s">
        <v>797</v>
      </c>
      <c r="C72" s="20" t="s">
        <v>273</v>
      </c>
      <c r="D72" s="20" t="s">
        <v>716</v>
      </c>
      <c r="E72" s="31" t="s">
        <v>1095</v>
      </c>
      <c r="F72" s="31" t="s">
        <v>1096</v>
      </c>
      <c r="G72" s="20" t="s">
        <v>825</v>
      </c>
      <c r="H72" s="19">
        <f>E72/F72</f>
        <v>1.0100077730275943</v>
      </c>
      <c r="I72" s="2">
        <f t="shared" si="2"/>
        <v>1.1509078830823738</v>
      </c>
      <c r="J72" s="14" t="s">
        <v>1078</v>
      </c>
    </row>
    <row r="73" spans="1:10" ht="14" customHeight="1" x14ac:dyDescent="0.35">
      <c r="A73" s="32" t="s">
        <v>824</v>
      </c>
      <c r="B73" s="20" t="s">
        <v>801</v>
      </c>
      <c r="C73" s="20" t="s">
        <v>273</v>
      </c>
      <c r="D73" s="20" t="s">
        <v>716</v>
      </c>
      <c r="E73" s="32" t="s">
        <v>1097</v>
      </c>
      <c r="F73" s="31" t="s">
        <v>128</v>
      </c>
      <c r="G73" s="20" t="s">
        <v>827</v>
      </c>
      <c r="H73" s="31" t="s">
        <v>128</v>
      </c>
      <c r="I73" s="2">
        <f t="shared" si="2"/>
        <v>1.1296598322460392</v>
      </c>
      <c r="J73" s="20" t="s">
        <v>211</v>
      </c>
    </row>
    <row r="74" spans="1:10" ht="14" customHeight="1" x14ac:dyDescent="0.35">
      <c r="A74" s="32" t="s">
        <v>824</v>
      </c>
      <c r="B74" s="20" t="s">
        <v>803</v>
      </c>
      <c r="C74" s="20" t="s">
        <v>273</v>
      </c>
      <c r="D74" s="20" t="s">
        <v>716</v>
      </c>
      <c r="E74" s="32" t="s">
        <v>1098</v>
      </c>
      <c r="F74" s="31" t="s">
        <v>128</v>
      </c>
      <c r="G74" s="20" t="s">
        <v>828</v>
      </c>
      <c r="H74" s="31" t="s">
        <v>128</v>
      </c>
      <c r="I74" s="2">
        <f t="shared" si="2"/>
        <v>1.1411028730305839</v>
      </c>
      <c r="J74" s="20" t="s">
        <v>211</v>
      </c>
    </row>
    <row r="75" spans="1:10" ht="14" customHeight="1" x14ac:dyDescent="0.35">
      <c r="A75" s="32" t="s">
        <v>829</v>
      </c>
      <c r="B75" s="20" t="s">
        <v>797</v>
      </c>
      <c r="C75" s="20" t="s">
        <v>273</v>
      </c>
      <c r="D75" s="20" t="s">
        <v>716</v>
      </c>
      <c r="E75" s="31" t="s">
        <v>1099</v>
      </c>
      <c r="F75" s="31" t="s">
        <v>1100</v>
      </c>
      <c r="G75" s="20" t="s">
        <v>830</v>
      </c>
      <c r="H75" s="19">
        <f>E75/F75</f>
        <v>1.0074026490471382</v>
      </c>
      <c r="I75" s="2">
        <f t="shared" si="2"/>
        <v>1.1495942054280477</v>
      </c>
      <c r="J75" s="14" t="s">
        <v>1078</v>
      </c>
    </row>
    <row r="76" spans="1:10" ht="14" customHeight="1" x14ac:dyDescent="0.35">
      <c r="A76" s="32" t="s">
        <v>829</v>
      </c>
      <c r="B76" s="20" t="s">
        <v>801</v>
      </c>
      <c r="C76" s="20" t="s">
        <v>273</v>
      </c>
      <c r="D76" s="20" t="s">
        <v>716</v>
      </c>
      <c r="E76" s="32" t="s">
        <v>1101</v>
      </c>
      <c r="F76" s="31" t="s">
        <v>128</v>
      </c>
      <c r="G76" s="20" t="s">
        <v>832</v>
      </c>
      <c r="H76" s="31" t="s">
        <v>128</v>
      </c>
      <c r="I76" s="2">
        <f t="shared" si="2"/>
        <v>1.1369338111941436</v>
      </c>
      <c r="J76" s="20" t="s">
        <v>211</v>
      </c>
    </row>
    <row r="77" spans="1:10" ht="14" customHeight="1" x14ac:dyDescent="0.35">
      <c r="A77" s="32" t="s">
        <v>829</v>
      </c>
      <c r="B77" s="20" t="s">
        <v>803</v>
      </c>
      <c r="C77" s="20" t="s">
        <v>273</v>
      </c>
      <c r="D77" s="20" t="s">
        <v>716</v>
      </c>
      <c r="E77" s="32" t="s">
        <v>1102</v>
      </c>
      <c r="F77" s="31" t="s">
        <v>128</v>
      </c>
      <c r="G77" s="20" t="s">
        <v>833</v>
      </c>
      <c r="H77" s="31" t="s">
        <v>128</v>
      </c>
      <c r="I77" s="2">
        <f t="shared" si="2"/>
        <v>1.1424183081826211</v>
      </c>
      <c r="J77" s="20" t="s">
        <v>211</v>
      </c>
    </row>
    <row r="78" spans="1:10" ht="14" customHeight="1" x14ac:dyDescent="0.35">
      <c r="A78" s="32" t="s">
        <v>834</v>
      </c>
      <c r="B78" s="20" t="s">
        <v>33</v>
      </c>
      <c r="C78" s="20" t="s">
        <v>273</v>
      </c>
      <c r="D78" s="20" t="s">
        <v>835</v>
      </c>
      <c r="E78" s="31" t="s">
        <v>1103</v>
      </c>
      <c r="F78" s="31" t="s">
        <v>1104</v>
      </c>
      <c r="G78" s="20" t="s">
        <v>836</v>
      </c>
      <c r="H78" s="19">
        <f t="shared" ref="H78:H117" si="3">E78/F78</f>
        <v>0.99945335276967939</v>
      </c>
      <c r="I78" s="19">
        <f t="shared" si="2"/>
        <v>1.0140506563135516</v>
      </c>
      <c r="J78" s="20"/>
    </row>
    <row r="79" spans="1:10" ht="14" customHeight="1" x14ac:dyDescent="0.35">
      <c r="A79" s="32" t="s">
        <v>838</v>
      </c>
      <c r="B79" s="20" t="s">
        <v>33</v>
      </c>
      <c r="C79" s="20" t="s">
        <v>273</v>
      </c>
      <c r="D79" s="20" t="s">
        <v>835</v>
      </c>
      <c r="E79" s="31" t="s">
        <v>1105</v>
      </c>
      <c r="F79" s="31" t="s">
        <v>1106</v>
      </c>
      <c r="G79" s="20" t="s">
        <v>839</v>
      </c>
      <c r="H79" s="19">
        <f t="shared" si="3"/>
        <v>0.99796145292809479</v>
      </c>
      <c r="I79" s="19">
        <f t="shared" si="2"/>
        <v>1.0116475671613752</v>
      </c>
      <c r="J79" s="20"/>
    </row>
    <row r="80" spans="1:10" ht="14" customHeight="1" x14ac:dyDescent="0.35">
      <c r="A80" s="32" t="s">
        <v>841</v>
      </c>
      <c r="B80" s="20" t="s">
        <v>33</v>
      </c>
      <c r="C80" s="20" t="s">
        <v>273</v>
      </c>
      <c r="D80" s="20" t="s">
        <v>835</v>
      </c>
      <c r="E80" s="31" t="s">
        <v>1107</v>
      </c>
      <c r="F80" s="31" t="s">
        <v>1108</v>
      </c>
      <c r="G80" s="20" t="s">
        <v>842</v>
      </c>
      <c r="H80" s="19">
        <f t="shared" si="3"/>
        <v>1.0007699414844471</v>
      </c>
      <c r="I80" s="19">
        <f t="shared" si="2"/>
        <v>1.014940135346174</v>
      </c>
      <c r="J80" s="20"/>
    </row>
    <row r="81" spans="1:10" ht="14" customHeight="1" x14ac:dyDescent="0.35">
      <c r="A81" s="32" t="s">
        <v>844</v>
      </c>
      <c r="B81" s="20" t="s">
        <v>33</v>
      </c>
      <c r="C81" s="20" t="s">
        <v>273</v>
      </c>
      <c r="D81" s="20" t="s">
        <v>835</v>
      </c>
      <c r="E81" s="31" t="s">
        <v>1109</v>
      </c>
      <c r="F81" s="31" t="s">
        <v>1110</v>
      </c>
      <c r="G81" s="20" t="s">
        <v>845</v>
      </c>
      <c r="H81" s="19">
        <f t="shared" si="3"/>
        <v>1.0006200272381909</v>
      </c>
      <c r="I81" s="19">
        <f t="shared" si="2"/>
        <v>1.0147638761171951</v>
      </c>
      <c r="J81" s="20"/>
    </row>
    <row r="82" spans="1:10" ht="14" customHeight="1" x14ac:dyDescent="0.35">
      <c r="A82" s="32" t="s">
        <v>847</v>
      </c>
      <c r="B82" s="20" t="s">
        <v>33</v>
      </c>
      <c r="C82" s="20" t="s">
        <v>273</v>
      </c>
      <c r="D82" s="20" t="s">
        <v>835</v>
      </c>
      <c r="E82" s="31" t="s">
        <v>1111</v>
      </c>
      <c r="F82" s="31" t="s">
        <v>1112</v>
      </c>
      <c r="G82" s="20" t="s">
        <v>848</v>
      </c>
      <c r="H82" s="19">
        <f t="shared" si="3"/>
        <v>0.99590163934426235</v>
      </c>
      <c r="I82" s="19">
        <f t="shared" si="2"/>
        <v>1.0125</v>
      </c>
      <c r="J82" s="20"/>
    </row>
    <row r="83" spans="1:10" ht="14" customHeight="1" x14ac:dyDescent="0.35">
      <c r="A83" s="32" t="s">
        <v>849</v>
      </c>
      <c r="B83" s="20" t="s">
        <v>33</v>
      </c>
      <c r="C83" s="20" t="s">
        <v>273</v>
      </c>
      <c r="D83" s="20" t="s">
        <v>835</v>
      </c>
      <c r="E83" s="31" t="s">
        <v>1113</v>
      </c>
      <c r="F83" s="31" t="s">
        <v>1114</v>
      </c>
      <c r="G83" s="20" t="s">
        <v>850</v>
      </c>
      <c r="H83" s="19">
        <f t="shared" si="3"/>
        <v>1.0229410544731872</v>
      </c>
      <c r="I83" s="2">
        <f t="shared" si="2"/>
        <v>1.1043416287953458</v>
      </c>
      <c r="J83" s="14" t="s">
        <v>1115</v>
      </c>
    </row>
    <row r="84" spans="1:10" ht="14" customHeight="1" x14ac:dyDescent="0.35">
      <c r="A84" s="32" t="s">
        <v>852</v>
      </c>
      <c r="B84" s="20" t="s">
        <v>33</v>
      </c>
      <c r="C84" s="20" t="s">
        <v>273</v>
      </c>
      <c r="D84" s="20" t="s">
        <v>835</v>
      </c>
      <c r="E84" s="31" t="s">
        <v>1116</v>
      </c>
      <c r="F84" s="31" t="s">
        <v>1117</v>
      </c>
      <c r="G84" s="20" t="s">
        <v>853</v>
      </c>
      <c r="H84" s="19">
        <f t="shared" si="3"/>
        <v>1.0096026551727348</v>
      </c>
      <c r="I84" s="19">
        <f t="shared" si="2"/>
        <v>1.0648745414115821</v>
      </c>
      <c r="J84" s="20"/>
    </row>
    <row r="85" spans="1:10" ht="14" customHeight="1" x14ac:dyDescent="0.35">
      <c r="A85" s="32" t="s">
        <v>859</v>
      </c>
      <c r="B85" s="20" t="s">
        <v>33</v>
      </c>
      <c r="C85" s="20" t="s">
        <v>273</v>
      </c>
      <c r="D85" s="20" t="s">
        <v>716</v>
      </c>
      <c r="E85" s="31" t="s">
        <v>1118</v>
      </c>
      <c r="F85" s="31" t="s">
        <v>1119</v>
      </c>
      <c r="G85" s="20" t="s">
        <v>860</v>
      </c>
      <c r="H85" s="2">
        <f t="shared" si="3"/>
        <v>0.92980769230769222</v>
      </c>
      <c r="I85" s="19">
        <f t="shared" si="2"/>
        <v>0.9443359375</v>
      </c>
      <c r="J85" s="20" t="s">
        <v>865</v>
      </c>
    </row>
    <row r="86" spans="1:10" ht="14" customHeight="1" x14ac:dyDescent="0.35">
      <c r="A86" s="32" t="s">
        <v>862</v>
      </c>
      <c r="B86" s="20" t="s">
        <v>33</v>
      </c>
      <c r="C86" s="20" t="s">
        <v>273</v>
      </c>
      <c r="D86" s="20" t="s">
        <v>716</v>
      </c>
      <c r="E86" s="31" t="s">
        <v>1120</v>
      </c>
      <c r="F86" s="31" t="s">
        <v>1121</v>
      </c>
      <c r="G86" s="20" t="s">
        <v>863</v>
      </c>
      <c r="H86" s="19">
        <f t="shared" si="3"/>
        <v>0.97434581836839407</v>
      </c>
      <c r="I86" s="19">
        <f t="shared" si="2"/>
        <v>1.0854529865675906</v>
      </c>
      <c r="J86" s="20"/>
    </row>
    <row r="87" spans="1:10" ht="14" customHeight="1" x14ac:dyDescent="0.35">
      <c r="A87" s="32" t="s">
        <v>862</v>
      </c>
      <c r="B87" s="20" t="s">
        <v>866</v>
      </c>
      <c r="C87" s="20" t="s">
        <v>273</v>
      </c>
      <c r="D87" s="20" t="s">
        <v>716</v>
      </c>
      <c r="E87" s="31" t="s">
        <v>1122</v>
      </c>
      <c r="F87" s="31" t="s">
        <v>1123</v>
      </c>
      <c r="G87" s="20" t="s">
        <v>867</v>
      </c>
      <c r="H87" s="19">
        <f t="shared" si="3"/>
        <v>1.0473548642758075</v>
      </c>
      <c r="I87" s="2">
        <f t="shared" si="2"/>
        <v>1.1137800252844501</v>
      </c>
      <c r="J87" s="14" t="s">
        <v>1115</v>
      </c>
    </row>
    <row r="88" spans="1:10" ht="14" customHeight="1" x14ac:dyDescent="0.35">
      <c r="A88" s="32" t="s">
        <v>869</v>
      </c>
      <c r="B88" s="20" t="s">
        <v>33</v>
      </c>
      <c r="C88" s="20" t="s">
        <v>273</v>
      </c>
      <c r="D88" s="20" t="s">
        <v>716</v>
      </c>
      <c r="E88" s="31" t="s">
        <v>1124</v>
      </c>
      <c r="F88" s="31" t="s">
        <v>1125</v>
      </c>
      <c r="G88" s="20" t="s">
        <v>870</v>
      </c>
      <c r="H88" s="19">
        <f t="shared" si="3"/>
        <v>0.9913419913419913</v>
      </c>
      <c r="I88" s="2">
        <f t="shared" si="2"/>
        <v>1.106280193236715</v>
      </c>
      <c r="J88" s="14" t="s">
        <v>1115</v>
      </c>
    </row>
    <row r="89" spans="1:10" ht="14" customHeight="1" x14ac:dyDescent="0.35">
      <c r="A89" s="32" t="s">
        <v>869</v>
      </c>
      <c r="B89" s="20" t="s">
        <v>866</v>
      </c>
      <c r="C89" s="20" t="s">
        <v>273</v>
      </c>
      <c r="D89" s="20" t="s">
        <v>716</v>
      </c>
      <c r="E89" s="31" t="s">
        <v>872</v>
      </c>
      <c r="F89" s="31" t="s">
        <v>1126</v>
      </c>
      <c r="G89" s="20" t="s">
        <v>872</v>
      </c>
      <c r="H89" s="19">
        <f t="shared" si="3"/>
        <v>0.98561151079136688</v>
      </c>
      <c r="I89" s="19">
        <f t="shared" si="2"/>
        <v>1</v>
      </c>
      <c r="J89" s="33"/>
    </row>
    <row r="90" spans="1:10" ht="14" customHeight="1" x14ac:dyDescent="0.35">
      <c r="A90" s="32" t="s">
        <v>874</v>
      </c>
      <c r="B90" s="20" t="s">
        <v>33</v>
      </c>
      <c r="C90" s="20" t="s">
        <v>273</v>
      </c>
      <c r="D90" s="20" t="s">
        <v>716</v>
      </c>
      <c r="E90" s="31" t="s">
        <v>1127</v>
      </c>
      <c r="F90" s="31">
        <v>1.476</v>
      </c>
      <c r="G90" s="20" t="s">
        <v>875</v>
      </c>
      <c r="H90" s="19">
        <f t="shared" si="3"/>
        <v>1.0128726287262872</v>
      </c>
      <c r="I90" s="2">
        <f t="shared" si="2"/>
        <v>1.1526599845797998</v>
      </c>
      <c r="J90" s="14" t="s">
        <v>1115</v>
      </c>
    </row>
    <row r="91" spans="1:10" ht="14" customHeight="1" x14ac:dyDescent="0.35">
      <c r="A91" s="32" t="s">
        <v>874</v>
      </c>
      <c r="B91" s="20" t="s">
        <v>866</v>
      </c>
      <c r="C91" s="20" t="s">
        <v>273</v>
      </c>
      <c r="D91" s="20" t="s">
        <v>716</v>
      </c>
      <c r="E91" s="31" t="s">
        <v>1128</v>
      </c>
      <c r="F91" s="31" t="s">
        <v>1129</v>
      </c>
      <c r="G91" s="20" t="s">
        <v>877</v>
      </c>
      <c r="H91" s="19">
        <f t="shared" si="3"/>
        <v>0.98940998487140697</v>
      </c>
      <c r="I91" s="19">
        <f t="shared" ref="I91:I117" si="4">E91/G91</f>
        <v>0.99392097264437684</v>
      </c>
      <c r="J91" s="20"/>
    </row>
    <row r="92" spans="1:10" ht="14" customHeight="1" x14ac:dyDescent="0.35">
      <c r="A92" s="32" t="s">
        <v>879</v>
      </c>
      <c r="B92" s="20" t="s">
        <v>33</v>
      </c>
      <c r="C92" s="20" t="s">
        <v>273</v>
      </c>
      <c r="D92" s="20" t="s">
        <v>716</v>
      </c>
      <c r="E92" s="31" t="s">
        <v>1130</v>
      </c>
      <c r="F92" s="31" t="s">
        <v>1131</v>
      </c>
      <c r="G92" s="20" t="s">
        <v>880</v>
      </c>
      <c r="H92" s="19">
        <f t="shared" si="3"/>
        <v>0.99528585757271815</v>
      </c>
      <c r="I92" s="19">
        <f t="shared" si="4"/>
        <v>1.0941669423310176</v>
      </c>
      <c r="J92" s="20"/>
    </row>
    <row r="93" spans="1:10" ht="14" customHeight="1" x14ac:dyDescent="0.35">
      <c r="A93" s="32" t="s">
        <v>879</v>
      </c>
      <c r="B93" s="20" t="s">
        <v>866</v>
      </c>
      <c r="C93" s="20" t="s">
        <v>273</v>
      </c>
      <c r="D93" s="20" t="s">
        <v>716</v>
      </c>
      <c r="E93" s="31" t="s">
        <v>1132</v>
      </c>
      <c r="F93" s="31" t="s">
        <v>1133</v>
      </c>
      <c r="G93" s="20" t="s">
        <v>882</v>
      </c>
      <c r="H93" s="19">
        <f t="shared" si="3"/>
        <v>0.99591549295774651</v>
      </c>
      <c r="I93" s="19">
        <f t="shared" si="4"/>
        <v>1.0788831248092767</v>
      </c>
      <c r="J93" s="20"/>
    </row>
    <row r="94" spans="1:10" ht="14" customHeight="1" x14ac:dyDescent="0.35">
      <c r="A94" s="32" t="s">
        <v>884</v>
      </c>
      <c r="B94" s="20" t="s">
        <v>33</v>
      </c>
      <c r="C94" s="20" t="s">
        <v>273</v>
      </c>
      <c r="D94" s="20" t="s">
        <v>716</v>
      </c>
      <c r="E94" s="31" t="s">
        <v>1134</v>
      </c>
      <c r="F94" s="31" t="s">
        <v>1135</v>
      </c>
      <c r="G94" s="20" t="s">
        <v>885</v>
      </c>
      <c r="H94" s="19">
        <f t="shared" si="3"/>
        <v>0.98438714107591396</v>
      </c>
      <c r="I94" s="19">
        <f t="shared" si="4"/>
        <v>1.0699204556613966</v>
      </c>
      <c r="J94" s="33"/>
    </row>
    <row r="95" spans="1:10" ht="14" customHeight="1" x14ac:dyDescent="0.35">
      <c r="A95" s="32" t="s">
        <v>884</v>
      </c>
      <c r="B95" s="20" t="s">
        <v>866</v>
      </c>
      <c r="C95" s="20" t="s">
        <v>273</v>
      </c>
      <c r="D95" s="20" t="s">
        <v>716</v>
      </c>
      <c r="E95" s="31" t="s">
        <v>1136</v>
      </c>
      <c r="F95" s="31" t="s">
        <v>1137</v>
      </c>
      <c r="G95" s="20" t="s">
        <v>887</v>
      </c>
      <c r="H95" s="2">
        <f t="shared" si="3"/>
        <v>0.89689227948786177</v>
      </c>
      <c r="I95" s="19">
        <f t="shared" si="4"/>
        <v>1.0409059711736446</v>
      </c>
      <c r="J95" s="20" t="s">
        <v>865</v>
      </c>
    </row>
    <row r="96" spans="1:10" ht="14" customHeight="1" x14ac:dyDescent="0.35">
      <c r="A96" s="32" t="s">
        <v>889</v>
      </c>
      <c r="B96" s="20" t="s">
        <v>33</v>
      </c>
      <c r="C96" s="20" t="s">
        <v>273</v>
      </c>
      <c r="D96" s="20" t="s">
        <v>716</v>
      </c>
      <c r="E96" s="31" t="s">
        <v>1138</v>
      </c>
      <c r="F96" s="31" t="s">
        <v>1139</v>
      </c>
      <c r="G96" s="20" t="s">
        <v>890</v>
      </c>
      <c r="H96" s="19">
        <f t="shared" si="3"/>
        <v>0.99731088541697632</v>
      </c>
      <c r="I96" s="19">
        <f t="shared" si="4"/>
        <v>1.0178127928239373</v>
      </c>
      <c r="J96" s="20"/>
    </row>
    <row r="97" spans="1:10" ht="14" customHeight="1" x14ac:dyDescent="0.35">
      <c r="A97" s="32" t="s">
        <v>889</v>
      </c>
      <c r="B97" s="20" t="s">
        <v>866</v>
      </c>
      <c r="C97" s="20" t="s">
        <v>273</v>
      </c>
      <c r="D97" s="20" t="s">
        <v>716</v>
      </c>
      <c r="E97" s="31" t="s">
        <v>1140</v>
      </c>
      <c r="F97" s="31" t="s">
        <v>1141</v>
      </c>
      <c r="G97" s="20" t="s">
        <v>892</v>
      </c>
      <c r="H97" s="19">
        <f t="shared" si="3"/>
        <v>0.98403645138797391</v>
      </c>
      <c r="I97" s="19">
        <f t="shared" si="4"/>
        <v>0.98252103859937301</v>
      </c>
      <c r="J97" s="20"/>
    </row>
    <row r="98" spans="1:10" ht="14" customHeight="1" x14ac:dyDescent="0.35">
      <c r="A98" s="32" t="s">
        <v>894</v>
      </c>
      <c r="B98" s="20" t="s">
        <v>33</v>
      </c>
      <c r="C98" s="20" t="s">
        <v>273</v>
      </c>
      <c r="D98" s="20" t="s">
        <v>895</v>
      </c>
      <c r="E98" s="31" t="s">
        <v>1142</v>
      </c>
      <c r="F98" s="31" t="s">
        <v>1143</v>
      </c>
      <c r="G98" s="20" t="s">
        <v>896</v>
      </c>
      <c r="H98" s="19">
        <f t="shared" si="3"/>
        <v>0.99572725654263838</v>
      </c>
      <c r="I98" s="19">
        <f t="shared" si="4"/>
        <v>1.074337303111794</v>
      </c>
      <c r="J98" s="20"/>
    </row>
    <row r="99" spans="1:10" ht="14" customHeight="1" x14ac:dyDescent="0.35">
      <c r="A99" s="32" t="s">
        <v>894</v>
      </c>
      <c r="B99" s="20" t="s">
        <v>866</v>
      </c>
      <c r="C99" s="20" t="s">
        <v>273</v>
      </c>
      <c r="D99" s="20" t="s">
        <v>895</v>
      </c>
      <c r="E99" s="31" t="s">
        <v>1144</v>
      </c>
      <c r="F99" s="31" t="s">
        <v>1145</v>
      </c>
      <c r="G99" s="20" t="s">
        <v>898</v>
      </c>
      <c r="H99" s="19">
        <f t="shared" si="3"/>
        <v>1.0043586550435868</v>
      </c>
      <c r="I99" s="19">
        <f t="shared" si="4"/>
        <v>1.0426632191338074</v>
      </c>
      <c r="J99" s="33"/>
    </row>
    <row r="100" spans="1:10" ht="14" customHeight="1" x14ac:dyDescent="0.35">
      <c r="A100" s="32" t="s">
        <v>900</v>
      </c>
      <c r="B100" s="20" t="s">
        <v>901</v>
      </c>
      <c r="C100" s="20" t="s">
        <v>273</v>
      </c>
      <c r="D100" s="20" t="s">
        <v>902</v>
      </c>
      <c r="E100" s="31" t="s">
        <v>1146</v>
      </c>
      <c r="F100" s="31" t="s">
        <v>1147</v>
      </c>
      <c r="G100" s="20" t="s">
        <v>903</v>
      </c>
      <c r="H100" s="19">
        <f t="shared" si="3"/>
        <v>0.99475150552912206</v>
      </c>
      <c r="I100" s="19">
        <f t="shared" si="4"/>
        <v>1.060103783294446</v>
      </c>
      <c r="J100" s="20"/>
    </row>
    <row r="101" spans="1:10" ht="14" customHeight="1" x14ac:dyDescent="0.35">
      <c r="A101" s="32" t="s">
        <v>905</v>
      </c>
      <c r="B101" s="20" t="s">
        <v>906</v>
      </c>
      <c r="C101" s="20" t="s">
        <v>273</v>
      </c>
      <c r="D101" s="20" t="s">
        <v>902</v>
      </c>
      <c r="E101" s="31" t="s">
        <v>1148</v>
      </c>
      <c r="F101" s="31" t="s">
        <v>1149</v>
      </c>
      <c r="G101" s="20" t="s">
        <v>907</v>
      </c>
      <c r="H101" s="19">
        <f t="shared" si="3"/>
        <v>0.99940701546321209</v>
      </c>
      <c r="I101" s="19">
        <f t="shared" si="4"/>
        <v>1.0063199279822161</v>
      </c>
      <c r="J101" s="20"/>
    </row>
    <row r="102" spans="1:10" ht="14" customHeight="1" x14ac:dyDescent="0.35">
      <c r="A102" s="32" t="s">
        <v>909</v>
      </c>
      <c r="B102" s="20" t="s">
        <v>906</v>
      </c>
      <c r="C102" s="20" t="s">
        <v>273</v>
      </c>
      <c r="D102" s="20" t="s">
        <v>902</v>
      </c>
      <c r="E102" s="31" t="s">
        <v>1150</v>
      </c>
      <c r="F102" s="31" t="s">
        <v>1151</v>
      </c>
      <c r="G102" s="20" t="s">
        <v>910</v>
      </c>
      <c r="H102" s="19">
        <f t="shared" si="3"/>
        <v>0.9816703600914386</v>
      </c>
      <c r="I102" s="19">
        <f t="shared" si="4"/>
        <v>0.96344500627774399</v>
      </c>
      <c r="J102" s="33"/>
    </row>
    <row r="103" spans="1:10" ht="14" customHeight="1" x14ac:dyDescent="0.35">
      <c r="A103" s="32" t="s">
        <v>912</v>
      </c>
      <c r="B103" s="20" t="s">
        <v>906</v>
      </c>
      <c r="C103" s="20" t="s">
        <v>273</v>
      </c>
      <c r="D103" s="20" t="s">
        <v>902</v>
      </c>
      <c r="E103" s="31" t="s">
        <v>1152</v>
      </c>
      <c r="F103" s="31" t="s">
        <v>1153</v>
      </c>
      <c r="G103" s="20" t="s">
        <v>913</v>
      </c>
      <c r="H103" s="19">
        <f t="shared" si="3"/>
        <v>0.99836527839398281</v>
      </c>
      <c r="I103" s="19">
        <f t="shared" si="4"/>
        <v>1.0143060694157473</v>
      </c>
      <c r="J103" s="20"/>
    </row>
    <row r="104" spans="1:10" ht="14" customHeight="1" x14ac:dyDescent="0.35">
      <c r="A104" s="32" t="s">
        <v>915</v>
      </c>
      <c r="B104" s="20" t="s">
        <v>901</v>
      </c>
      <c r="C104" s="20" t="s">
        <v>273</v>
      </c>
      <c r="D104" s="20" t="s">
        <v>902</v>
      </c>
      <c r="E104" s="31" t="s">
        <v>1154</v>
      </c>
      <c r="F104" s="31" t="s">
        <v>1155</v>
      </c>
      <c r="G104" s="20" t="s">
        <v>916</v>
      </c>
      <c r="H104" s="19">
        <f t="shared" si="3"/>
        <v>0.99505146348265427</v>
      </c>
      <c r="I104" s="19">
        <f t="shared" si="4"/>
        <v>1.078612505448461</v>
      </c>
      <c r="J104" s="20"/>
    </row>
    <row r="105" spans="1:10" ht="14" customHeight="1" x14ac:dyDescent="0.35">
      <c r="A105" s="32" t="s">
        <v>918</v>
      </c>
      <c r="B105" s="20" t="s">
        <v>901</v>
      </c>
      <c r="C105" s="20" t="s">
        <v>273</v>
      </c>
      <c r="D105" s="20" t="s">
        <v>902</v>
      </c>
      <c r="E105" s="31" t="s">
        <v>1156</v>
      </c>
      <c r="F105" s="31" t="s">
        <v>1157</v>
      </c>
      <c r="G105" s="20" t="s">
        <v>919</v>
      </c>
      <c r="H105" s="19">
        <f t="shared" si="3"/>
        <v>1.0174833660282727</v>
      </c>
      <c r="I105" s="19">
        <f t="shared" si="4"/>
        <v>1.0703435804701626</v>
      </c>
      <c r="J105" s="33"/>
    </row>
    <row r="106" spans="1:10" ht="14" customHeight="1" x14ac:dyDescent="0.35">
      <c r="A106" s="32" t="s">
        <v>921</v>
      </c>
      <c r="B106" s="20" t="s">
        <v>901</v>
      </c>
      <c r="C106" s="20" t="s">
        <v>273</v>
      </c>
      <c r="D106" s="20" t="s">
        <v>902</v>
      </c>
      <c r="E106" s="31" t="s">
        <v>1158</v>
      </c>
      <c r="F106" s="31" t="s">
        <v>1159</v>
      </c>
      <c r="G106" s="20" t="s">
        <v>922</v>
      </c>
      <c r="H106" s="19">
        <f t="shared" si="3"/>
        <v>0.99620931071374919</v>
      </c>
      <c r="I106" s="19">
        <f t="shared" si="4"/>
        <v>1.090626158331135</v>
      </c>
      <c r="J106" s="20"/>
    </row>
    <row r="107" spans="1:10" ht="14" customHeight="1" x14ac:dyDescent="0.35">
      <c r="A107" s="32" t="s">
        <v>924</v>
      </c>
      <c r="B107" s="20" t="s">
        <v>33</v>
      </c>
      <c r="C107" s="20" t="s">
        <v>273</v>
      </c>
      <c r="D107" s="20" t="s">
        <v>716</v>
      </c>
      <c r="E107" s="31" t="s">
        <v>1160</v>
      </c>
      <c r="F107" s="31" t="s">
        <v>1161</v>
      </c>
      <c r="G107" s="20" t="s">
        <v>925</v>
      </c>
      <c r="H107" s="19">
        <f t="shared" si="3"/>
        <v>1.0216789331778766</v>
      </c>
      <c r="I107" s="2">
        <f t="shared" si="4"/>
        <v>1.1691544362908606</v>
      </c>
      <c r="J107" s="14" t="s">
        <v>1078</v>
      </c>
    </row>
    <row r="108" spans="1:10" ht="14" customHeight="1" x14ac:dyDescent="0.35">
      <c r="A108" s="32" t="s">
        <v>927</v>
      </c>
      <c r="B108" s="20" t="s">
        <v>33</v>
      </c>
      <c r="C108" s="20" t="s">
        <v>273</v>
      </c>
      <c r="D108" s="20" t="s">
        <v>716</v>
      </c>
      <c r="E108" s="31" t="s">
        <v>1162</v>
      </c>
      <c r="F108" s="31" t="s">
        <v>1163</v>
      </c>
      <c r="G108" s="20" t="s">
        <v>928</v>
      </c>
      <c r="H108" s="19">
        <f t="shared" si="3"/>
        <v>1.0079329068394276</v>
      </c>
      <c r="I108" s="2">
        <f t="shared" si="4"/>
        <v>1.1909286183451386</v>
      </c>
      <c r="J108" s="14" t="s">
        <v>1078</v>
      </c>
    </row>
    <row r="109" spans="1:10" ht="14" customHeight="1" x14ac:dyDescent="0.35">
      <c r="A109" s="32" t="s">
        <v>930</v>
      </c>
      <c r="B109" s="20" t="s">
        <v>33</v>
      </c>
      <c r="C109" s="20" t="s">
        <v>273</v>
      </c>
      <c r="D109" s="20" t="s">
        <v>716</v>
      </c>
      <c r="E109" s="31" t="s">
        <v>1164</v>
      </c>
      <c r="F109" s="31" t="s">
        <v>1165</v>
      </c>
      <c r="G109" s="20" t="s">
        <v>931</v>
      </c>
      <c r="H109" s="19">
        <f t="shared" si="3"/>
        <v>0.99681254743232994</v>
      </c>
      <c r="I109" s="2">
        <f t="shared" si="4"/>
        <v>1.1407561808812461</v>
      </c>
      <c r="J109" s="14" t="s">
        <v>1078</v>
      </c>
    </row>
    <row r="110" spans="1:10" ht="14" customHeight="1" x14ac:dyDescent="0.35">
      <c r="A110" s="32" t="s">
        <v>933</v>
      </c>
      <c r="B110" s="20" t="s">
        <v>33</v>
      </c>
      <c r="C110" s="20" t="s">
        <v>273</v>
      </c>
      <c r="D110" s="20" t="s">
        <v>716</v>
      </c>
      <c r="E110" s="31" t="s">
        <v>1166</v>
      </c>
      <c r="F110" s="31" t="s">
        <v>1167</v>
      </c>
      <c r="G110" s="20" t="s">
        <v>934</v>
      </c>
      <c r="H110" s="19">
        <f t="shared" si="3"/>
        <v>0.99502856131130424</v>
      </c>
      <c r="I110" s="2">
        <f t="shared" si="4"/>
        <v>1.183545776989581</v>
      </c>
      <c r="J110" s="14" t="s">
        <v>1078</v>
      </c>
    </row>
    <row r="111" spans="1:10" ht="14" customHeight="1" x14ac:dyDescent="0.35">
      <c r="A111" s="32" t="s">
        <v>936</v>
      </c>
      <c r="B111" s="20" t="s">
        <v>937</v>
      </c>
      <c r="C111" s="20" t="s">
        <v>273</v>
      </c>
      <c r="D111" s="20" t="s">
        <v>938</v>
      </c>
      <c r="E111" s="31" t="s">
        <v>1168</v>
      </c>
      <c r="F111" s="31">
        <v>7.7990000000000004</v>
      </c>
      <c r="G111" s="20" t="s">
        <v>939</v>
      </c>
      <c r="H111" s="19">
        <f t="shared" si="3"/>
        <v>1.0065392999102447</v>
      </c>
      <c r="I111" s="19">
        <f t="shared" si="4"/>
        <v>1.073577680525164</v>
      </c>
      <c r="J111" s="20"/>
    </row>
    <row r="112" spans="1:10" ht="14" customHeight="1" x14ac:dyDescent="0.35">
      <c r="A112" s="32" t="s">
        <v>941</v>
      </c>
      <c r="B112" s="20" t="s">
        <v>937</v>
      </c>
      <c r="C112" s="20" t="s">
        <v>273</v>
      </c>
      <c r="D112" s="20" t="s">
        <v>938</v>
      </c>
      <c r="E112" s="31" t="s">
        <v>942</v>
      </c>
      <c r="F112" s="32">
        <v>1.3580000000000001</v>
      </c>
      <c r="G112" s="20" t="s">
        <v>942</v>
      </c>
      <c r="H112" s="19">
        <f t="shared" si="3"/>
        <v>1.0007363770250368</v>
      </c>
      <c r="I112" s="19">
        <f t="shared" si="4"/>
        <v>1</v>
      </c>
      <c r="J112" s="20"/>
    </row>
    <row r="113" spans="1:10" ht="14" customHeight="1" x14ac:dyDescent="0.35">
      <c r="A113" s="32" t="s">
        <v>943</v>
      </c>
      <c r="B113" s="20" t="s">
        <v>937</v>
      </c>
      <c r="C113" s="20" t="s">
        <v>273</v>
      </c>
      <c r="D113" s="20" t="s">
        <v>938</v>
      </c>
      <c r="E113" s="31" t="s">
        <v>537</v>
      </c>
      <c r="F113" s="31" t="s">
        <v>1169</v>
      </c>
      <c r="G113" s="20" t="s">
        <v>944</v>
      </c>
      <c r="H113" s="19">
        <f t="shared" si="3"/>
        <v>0.99652052887961018</v>
      </c>
      <c r="I113" s="19">
        <f t="shared" si="4"/>
        <v>1.0035038542396635</v>
      </c>
      <c r="J113" s="33"/>
    </row>
    <row r="114" spans="1:10" ht="14" customHeight="1" x14ac:dyDescent="0.35">
      <c r="A114" s="32" t="s">
        <v>945</v>
      </c>
      <c r="B114" s="20" t="s">
        <v>937</v>
      </c>
      <c r="C114" s="20" t="s">
        <v>273</v>
      </c>
      <c r="D114" s="20" t="s">
        <v>938</v>
      </c>
      <c r="E114" s="31" t="s">
        <v>1170</v>
      </c>
      <c r="F114" s="31">
        <v>16.937000000000001</v>
      </c>
      <c r="G114" s="20" t="s">
        <v>946</v>
      </c>
      <c r="H114" s="19">
        <f t="shared" si="3"/>
        <v>0.99769734899923235</v>
      </c>
      <c r="I114" s="19">
        <f t="shared" si="4"/>
        <v>1.0317499084137256</v>
      </c>
      <c r="J114" s="20"/>
    </row>
    <row r="115" spans="1:10" ht="14" customHeight="1" x14ac:dyDescent="0.35">
      <c r="A115" s="32" t="s">
        <v>948</v>
      </c>
      <c r="B115" s="20" t="s">
        <v>33</v>
      </c>
      <c r="C115" s="20" t="s">
        <v>273</v>
      </c>
      <c r="D115" s="20" t="s">
        <v>835</v>
      </c>
      <c r="E115" s="31" t="s">
        <v>1171</v>
      </c>
      <c r="F115" s="31" t="s">
        <v>1172</v>
      </c>
      <c r="G115" s="20" t="s">
        <v>949</v>
      </c>
      <c r="H115" s="19">
        <f t="shared" si="3"/>
        <v>1.0116756723954397</v>
      </c>
      <c r="I115" s="19">
        <f t="shared" si="4"/>
        <v>1.0502400734132211</v>
      </c>
      <c r="J115" s="20"/>
    </row>
    <row r="116" spans="1:10" ht="14" customHeight="1" x14ac:dyDescent="0.35">
      <c r="A116" s="32" t="s">
        <v>951</v>
      </c>
      <c r="B116" s="20" t="s">
        <v>33</v>
      </c>
      <c r="C116" s="20" t="s">
        <v>273</v>
      </c>
      <c r="D116" s="20" t="s">
        <v>835</v>
      </c>
      <c r="E116" s="31" t="s">
        <v>1173</v>
      </c>
      <c r="F116" s="31" t="s">
        <v>1174</v>
      </c>
      <c r="G116" s="20" t="s">
        <v>952</v>
      </c>
      <c r="H116" s="19">
        <f t="shared" si="3"/>
        <v>1.0025498072708936</v>
      </c>
      <c r="I116" s="19">
        <f t="shared" si="4"/>
        <v>1.0398549512269784</v>
      </c>
      <c r="J116" s="20"/>
    </row>
    <row r="117" spans="1:10" ht="14" customHeight="1" x14ac:dyDescent="0.35">
      <c r="A117" s="32" t="s">
        <v>954</v>
      </c>
      <c r="B117" s="20" t="s">
        <v>33</v>
      </c>
      <c r="C117" s="20" t="s">
        <v>273</v>
      </c>
      <c r="D117" s="20" t="s">
        <v>835</v>
      </c>
      <c r="E117" s="31" t="s">
        <v>1175</v>
      </c>
      <c r="F117" s="31" t="s">
        <v>1176</v>
      </c>
      <c r="G117" s="20" t="s">
        <v>955</v>
      </c>
      <c r="H117" s="19">
        <f t="shared" si="3"/>
        <v>0.99058885583391432</v>
      </c>
      <c r="I117" s="19">
        <f t="shared" si="4"/>
        <v>1.0673016482598638</v>
      </c>
      <c r="J117" s="20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7AF1-B561-43F3-99BA-35FE46C50FE3}">
  <sheetPr>
    <outlinePr summaryBelow="0" summaryRight="0"/>
  </sheetPr>
  <dimension ref="A1:AN57"/>
  <sheetViews>
    <sheetView workbookViewId="0"/>
  </sheetViews>
  <sheetFormatPr defaultColWidth="8.84375" defaultRowHeight="14" customHeight="1" x14ac:dyDescent="0.35"/>
  <cols>
    <col min="1" max="1" width="42" style="30" customWidth="1"/>
    <col min="2" max="2" width="23.84375" style="30" customWidth="1"/>
    <col min="3" max="3" width="14.84375" style="30" customWidth="1"/>
    <col min="4" max="6" width="8.69140625" style="30" customWidth="1"/>
    <col min="7" max="7" width="23.15234375" style="30" customWidth="1"/>
    <col min="8" max="12" width="8.69140625" style="30" customWidth="1"/>
    <col min="13" max="40" width="8.69140625" style="30"/>
  </cols>
  <sheetData>
    <row r="1" spans="1:8" s="15" customFormat="1" ht="14" customHeight="1" x14ac:dyDescent="0.3">
      <c r="A1" s="36" t="s">
        <v>0</v>
      </c>
      <c r="B1" s="16"/>
    </row>
    <row r="2" spans="1:8" s="15" customFormat="1" ht="14" customHeight="1" x14ac:dyDescent="0.3">
      <c r="A2" s="23" t="s">
        <v>1</v>
      </c>
      <c r="B2" s="13" t="s">
        <v>1177</v>
      </c>
    </row>
    <row r="3" spans="1:8" s="15" customFormat="1" ht="14" customHeight="1" x14ac:dyDescent="0.3">
      <c r="A3" s="23" t="s">
        <v>3</v>
      </c>
      <c r="B3" s="13" t="s">
        <v>1178</v>
      </c>
    </row>
    <row r="4" spans="1:8" s="15" customFormat="1" ht="14" customHeight="1" x14ac:dyDescent="0.3">
      <c r="A4" s="23" t="s">
        <v>5</v>
      </c>
      <c r="B4" s="13" t="s">
        <v>1179</v>
      </c>
    </row>
    <row r="5" spans="1:8" s="15" customFormat="1" ht="14" customHeight="1" x14ac:dyDescent="0.3">
      <c r="A5" s="23" t="s">
        <v>7</v>
      </c>
      <c r="B5" s="13" t="s">
        <v>992</v>
      </c>
    </row>
    <row r="6" spans="1:8" s="15" customFormat="1" ht="14" customHeight="1" x14ac:dyDescent="0.3">
      <c r="A6" s="23" t="s">
        <v>9</v>
      </c>
      <c r="B6" s="13" t="s">
        <v>1180</v>
      </c>
    </row>
    <row r="7" spans="1:8" s="15" customFormat="1" ht="14" customHeight="1" x14ac:dyDescent="0.3">
      <c r="A7" s="23" t="s">
        <v>11</v>
      </c>
      <c r="B7" s="13" t="s">
        <v>1181</v>
      </c>
    </row>
    <row r="8" spans="1:8" s="17" customFormat="1" ht="14" customHeight="1" x14ac:dyDescent="0.3">
      <c r="A8" s="25" t="s">
        <v>13</v>
      </c>
      <c r="B8" s="29" t="s">
        <v>1182</v>
      </c>
      <c r="C8" s="26"/>
    </row>
    <row r="9" spans="1:8" s="15" customFormat="1" ht="14.25" customHeight="1" x14ac:dyDescent="0.3">
      <c r="A9" s="23" t="s">
        <v>15</v>
      </c>
      <c r="B9" s="24" t="s">
        <v>16</v>
      </c>
    </row>
    <row r="10" spans="1:8" s="15" customFormat="1" ht="14.25" customHeight="1" x14ac:dyDescent="0.3">
      <c r="A10" s="23" t="s">
        <v>17</v>
      </c>
      <c r="B10" s="24" t="s">
        <v>18</v>
      </c>
    </row>
    <row r="11" spans="1:8" s="15" customFormat="1" ht="14.25" customHeight="1" x14ac:dyDescent="0.3">
      <c r="A11" s="23" t="s">
        <v>19</v>
      </c>
      <c r="B11" s="24" t="s">
        <v>1183</v>
      </c>
    </row>
    <row r="12" spans="1:8" s="15" customFormat="1" ht="14.25" customHeight="1" x14ac:dyDescent="0.3">
      <c r="A12" s="23" t="s">
        <v>21</v>
      </c>
      <c r="B12" s="24" t="s">
        <v>22</v>
      </c>
    </row>
    <row r="13" spans="1:8" s="15" customFormat="1" ht="14" customHeight="1" x14ac:dyDescent="0.3"/>
    <row r="14" spans="1:8" s="15" customFormat="1" ht="14" customHeight="1" x14ac:dyDescent="0.3"/>
    <row r="15" spans="1:8" s="15" customFormat="1" ht="14" customHeight="1" x14ac:dyDescent="0.3"/>
    <row r="16" spans="1:8" ht="14" customHeight="1" x14ac:dyDescent="0.35">
      <c r="A16" s="36" t="s">
        <v>23</v>
      </c>
      <c r="B16" s="20"/>
      <c r="C16" s="20"/>
      <c r="D16" s="20"/>
      <c r="E16" s="20"/>
      <c r="F16" s="20"/>
      <c r="G16" s="20"/>
      <c r="H16" s="20"/>
    </row>
    <row r="17" spans="1:8" ht="63.5" customHeight="1" x14ac:dyDescent="0.35">
      <c r="A17" s="36" t="s">
        <v>24</v>
      </c>
      <c r="B17" s="36" t="s">
        <v>25</v>
      </c>
      <c r="C17" s="36" t="s">
        <v>26</v>
      </c>
      <c r="D17" s="36" t="s">
        <v>27</v>
      </c>
      <c r="E17" s="36" t="s">
        <v>1184</v>
      </c>
      <c r="F17" s="36" t="s">
        <v>1185</v>
      </c>
      <c r="G17" s="1" t="s">
        <v>1186</v>
      </c>
      <c r="H17" s="36" t="s">
        <v>31</v>
      </c>
    </row>
    <row r="18" spans="1:8" ht="14" customHeight="1" x14ac:dyDescent="0.35">
      <c r="A18" s="20" t="s">
        <v>61</v>
      </c>
      <c r="B18" s="20" t="s">
        <v>33</v>
      </c>
      <c r="C18" s="20" t="s">
        <v>23</v>
      </c>
      <c r="D18" s="20" t="s">
        <v>58</v>
      </c>
      <c r="E18" s="20" t="s">
        <v>1187</v>
      </c>
      <c r="F18" s="20" t="s">
        <v>1188</v>
      </c>
      <c r="G18" s="2">
        <f t="shared" ref="G18:G29" si="0">E18/F18</f>
        <v>1.079040276676994</v>
      </c>
      <c r="H18" s="20" t="s">
        <v>64</v>
      </c>
    </row>
    <row r="19" spans="1:8" ht="14" customHeight="1" x14ac:dyDescent="0.35">
      <c r="A19" s="20" t="s">
        <v>65</v>
      </c>
      <c r="B19" s="20" t="s">
        <v>33</v>
      </c>
      <c r="C19" s="20" t="s">
        <v>23</v>
      </c>
      <c r="D19" s="20" t="s">
        <v>58</v>
      </c>
      <c r="E19" s="20" t="s">
        <v>1189</v>
      </c>
      <c r="F19" s="20" t="s">
        <v>1190</v>
      </c>
      <c r="G19" s="2">
        <f t="shared" si="0"/>
        <v>1.0574591825174033</v>
      </c>
      <c r="H19" s="20" t="s">
        <v>64</v>
      </c>
    </row>
    <row r="20" spans="1:8" ht="14" customHeight="1" x14ac:dyDescent="0.35">
      <c r="A20" s="20" t="s">
        <v>68</v>
      </c>
      <c r="B20" s="20" t="s">
        <v>33</v>
      </c>
      <c r="C20" s="20" t="s">
        <v>23</v>
      </c>
      <c r="D20" s="20" t="s">
        <v>58</v>
      </c>
      <c r="E20" s="20" t="s">
        <v>1191</v>
      </c>
      <c r="F20" s="20" t="s">
        <v>1192</v>
      </c>
      <c r="G20" s="2">
        <f t="shared" si="0"/>
        <v>1.0680420822516736</v>
      </c>
      <c r="H20" s="20" t="s">
        <v>64</v>
      </c>
    </row>
    <row r="21" spans="1:8" ht="14" customHeight="1" x14ac:dyDescent="0.35">
      <c r="A21" s="20" t="s">
        <v>71</v>
      </c>
      <c r="B21" s="20" t="s">
        <v>33</v>
      </c>
      <c r="C21" s="20" t="s">
        <v>23</v>
      </c>
      <c r="D21" s="20" t="s">
        <v>58</v>
      </c>
      <c r="E21" s="20" t="s">
        <v>1193</v>
      </c>
      <c r="F21" s="20" t="s">
        <v>1194</v>
      </c>
      <c r="G21" s="2">
        <f t="shared" si="0"/>
        <v>1.0748326848249028</v>
      </c>
      <c r="H21" s="20" t="s">
        <v>64</v>
      </c>
    </row>
    <row r="22" spans="1:8" ht="14" customHeight="1" x14ac:dyDescent="0.35">
      <c r="A22" s="20" t="s">
        <v>98</v>
      </c>
      <c r="B22" s="20" t="s">
        <v>33</v>
      </c>
      <c r="C22" s="20" t="s">
        <v>23</v>
      </c>
      <c r="D22" s="20" t="s">
        <v>58</v>
      </c>
      <c r="E22" s="20" t="s">
        <v>1195</v>
      </c>
      <c r="F22" s="20" t="s">
        <v>1196</v>
      </c>
      <c r="G22" s="19">
        <f t="shared" si="0"/>
        <v>1.0074534161490682</v>
      </c>
      <c r="H22" s="20"/>
    </row>
    <row r="23" spans="1:8" ht="14" customHeight="1" x14ac:dyDescent="0.35">
      <c r="A23" s="20" t="s">
        <v>100</v>
      </c>
      <c r="B23" s="20" t="s">
        <v>33</v>
      </c>
      <c r="C23" s="20" t="s">
        <v>23</v>
      </c>
      <c r="D23" s="20" t="s">
        <v>58</v>
      </c>
      <c r="E23" s="20" t="s">
        <v>1197</v>
      </c>
      <c r="F23" s="20" t="s">
        <v>1198</v>
      </c>
      <c r="G23" s="19">
        <f t="shared" si="0"/>
        <v>0.98637359776075684</v>
      </c>
      <c r="H23" s="20"/>
    </row>
    <row r="24" spans="1:8" ht="14" customHeight="1" x14ac:dyDescent="0.35">
      <c r="A24" s="20" t="s">
        <v>104</v>
      </c>
      <c r="B24" s="20" t="s">
        <v>33</v>
      </c>
      <c r="C24" s="20" t="s">
        <v>23</v>
      </c>
      <c r="D24" s="20" t="s">
        <v>58</v>
      </c>
      <c r="E24" s="20" t="s">
        <v>1199</v>
      </c>
      <c r="F24" s="20" t="s">
        <v>1200</v>
      </c>
      <c r="G24" s="19">
        <f t="shared" si="0"/>
        <v>1.0216890689052573</v>
      </c>
      <c r="H24" s="20"/>
    </row>
    <row r="25" spans="1:8" ht="14" customHeight="1" x14ac:dyDescent="0.35">
      <c r="A25" s="20" t="s">
        <v>108</v>
      </c>
      <c r="B25" s="20" t="s">
        <v>33</v>
      </c>
      <c r="C25" s="20" t="s">
        <v>23</v>
      </c>
      <c r="D25" s="20" t="s">
        <v>58</v>
      </c>
      <c r="E25" s="20" t="s">
        <v>1201</v>
      </c>
      <c r="F25" s="20" t="s">
        <v>1202</v>
      </c>
      <c r="G25" s="19">
        <f t="shared" si="0"/>
        <v>0.99339806522891194</v>
      </c>
      <c r="H25" s="20"/>
    </row>
    <row r="26" spans="1:8" ht="14" customHeight="1" x14ac:dyDescent="0.35">
      <c r="A26" s="20" t="s">
        <v>112</v>
      </c>
      <c r="B26" s="20" t="s">
        <v>33</v>
      </c>
      <c r="C26" s="20" t="s">
        <v>23</v>
      </c>
      <c r="D26" s="20" t="s">
        <v>58</v>
      </c>
      <c r="E26" s="20" t="s">
        <v>1203</v>
      </c>
      <c r="F26" s="20" t="s">
        <v>1204</v>
      </c>
      <c r="G26" s="19">
        <f t="shared" si="0"/>
        <v>1.0013632412004985</v>
      </c>
      <c r="H26" s="20"/>
    </row>
    <row r="27" spans="1:8" ht="14" customHeight="1" x14ac:dyDescent="0.35">
      <c r="A27" s="20" t="s">
        <v>133</v>
      </c>
      <c r="B27" s="20" t="s">
        <v>33</v>
      </c>
      <c r="C27" s="20" t="s">
        <v>23</v>
      </c>
      <c r="D27" s="20" t="s">
        <v>58</v>
      </c>
      <c r="E27" s="20" t="s">
        <v>1205</v>
      </c>
      <c r="F27" s="8">
        <v>3132.63</v>
      </c>
      <c r="G27" s="2">
        <f t="shared" si="0"/>
        <v>0.8681820068121674</v>
      </c>
      <c r="H27" s="20" t="s">
        <v>40</v>
      </c>
    </row>
    <row r="28" spans="1:8" ht="14" customHeight="1" x14ac:dyDescent="0.35">
      <c r="A28" s="20" t="s">
        <v>136</v>
      </c>
      <c r="B28" s="20" t="s">
        <v>33</v>
      </c>
      <c r="C28" s="20" t="s">
        <v>23</v>
      </c>
      <c r="D28" s="20" t="s">
        <v>58</v>
      </c>
      <c r="E28" s="20" t="s">
        <v>1206</v>
      </c>
      <c r="F28" s="8">
        <v>3092.502</v>
      </c>
      <c r="G28" s="2">
        <f t="shared" si="0"/>
        <v>0.8719525484542936</v>
      </c>
      <c r="H28" s="20" t="s">
        <v>40</v>
      </c>
    </row>
    <row r="29" spans="1:8" ht="14" customHeight="1" x14ac:dyDescent="0.35">
      <c r="A29" s="20" t="s">
        <v>139</v>
      </c>
      <c r="B29" s="20" t="s">
        <v>33</v>
      </c>
      <c r="C29" s="20" t="s">
        <v>23</v>
      </c>
      <c r="D29" s="20" t="s">
        <v>58</v>
      </c>
      <c r="E29" s="20" t="s">
        <v>1207</v>
      </c>
      <c r="F29" s="8">
        <v>3182.29</v>
      </c>
      <c r="G29" s="2">
        <f t="shared" si="0"/>
        <v>0.87610651449113697</v>
      </c>
      <c r="H29" s="20" t="s">
        <v>40</v>
      </c>
    </row>
    <row r="33" spans="1:11" ht="14" customHeight="1" x14ac:dyDescent="0.35">
      <c r="A33" s="36" t="s">
        <v>273</v>
      </c>
      <c r="B33" s="20"/>
      <c r="C33" s="20"/>
      <c r="D33" s="20"/>
      <c r="E33" s="20"/>
      <c r="F33" s="20"/>
      <c r="G33" s="20"/>
      <c r="H33" s="20"/>
    </row>
    <row r="34" spans="1:11" ht="63.5" customHeight="1" x14ac:dyDescent="0.35">
      <c r="A34" s="36" t="s">
        <v>24</v>
      </c>
      <c r="B34" s="36" t="s">
        <v>25</v>
      </c>
      <c r="C34" s="36" t="s">
        <v>26</v>
      </c>
      <c r="D34" s="36" t="s">
        <v>27</v>
      </c>
      <c r="E34" s="36" t="s">
        <v>1184</v>
      </c>
      <c r="F34" s="36" t="s">
        <v>1185</v>
      </c>
      <c r="G34" s="1" t="s">
        <v>1186</v>
      </c>
      <c r="H34" s="36" t="s">
        <v>31</v>
      </c>
    </row>
    <row r="35" spans="1:11" ht="14" customHeight="1" x14ac:dyDescent="0.35">
      <c r="A35" s="20" t="s">
        <v>291</v>
      </c>
      <c r="B35" s="20" t="s">
        <v>33</v>
      </c>
      <c r="C35" s="20" t="s">
        <v>273</v>
      </c>
      <c r="D35" s="20" t="s">
        <v>292</v>
      </c>
      <c r="E35" s="20" t="s">
        <v>1208</v>
      </c>
      <c r="F35" s="8">
        <v>905.36800000000005</v>
      </c>
      <c r="G35" s="19">
        <f t="shared" ref="G35:G40" si="1">E35/F35</f>
        <v>1.0400212952081362</v>
      </c>
      <c r="H35" s="20"/>
    </row>
    <row r="36" spans="1:11" ht="14" customHeight="1" x14ac:dyDescent="0.35">
      <c r="A36" s="20" t="s">
        <v>296</v>
      </c>
      <c r="B36" s="20" t="s">
        <v>33</v>
      </c>
      <c r="C36" s="20" t="s">
        <v>273</v>
      </c>
      <c r="D36" s="20" t="s">
        <v>292</v>
      </c>
      <c r="E36" s="20" t="s">
        <v>1209</v>
      </c>
      <c r="F36" s="8">
        <v>1487.25</v>
      </c>
      <c r="G36" s="19">
        <f t="shared" si="1"/>
        <v>1.0557485291645654</v>
      </c>
      <c r="H36" s="20"/>
    </row>
    <row r="37" spans="1:11" ht="14" customHeight="1" x14ac:dyDescent="0.35">
      <c r="A37" s="20" t="s">
        <v>299</v>
      </c>
      <c r="B37" s="20" t="s">
        <v>300</v>
      </c>
      <c r="C37" s="20" t="s">
        <v>273</v>
      </c>
      <c r="D37" s="20" t="s">
        <v>301</v>
      </c>
      <c r="E37" s="20" t="s">
        <v>302</v>
      </c>
      <c r="F37" s="20" t="s">
        <v>302</v>
      </c>
      <c r="G37" s="19">
        <f t="shared" si="1"/>
        <v>1</v>
      </c>
      <c r="H37" s="20"/>
    </row>
    <row r="38" spans="1:11" ht="14" customHeight="1" x14ac:dyDescent="0.35">
      <c r="A38" s="20" t="s">
        <v>303</v>
      </c>
      <c r="B38" s="20" t="s">
        <v>300</v>
      </c>
      <c r="C38" s="20" t="s">
        <v>273</v>
      </c>
      <c r="D38" s="20" t="s">
        <v>301</v>
      </c>
      <c r="E38" s="20" t="s">
        <v>304</v>
      </c>
      <c r="F38" s="20" t="s">
        <v>304</v>
      </c>
      <c r="G38" s="19">
        <f t="shared" si="1"/>
        <v>1</v>
      </c>
      <c r="H38" s="20"/>
    </row>
    <row r="39" spans="1:11" ht="14" customHeight="1" x14ac:dyDescent="0.35">
      <c r="A39" s="20" t="s">
        <v>345</v>
      </c>
      <c r="B39" s="20" t="s">
        <v>33</v>
      </c>
      <c r="C39" s="20" t="s">
        <v>273</v>
      </c>
      <c r="D39" s="20" t="s">
        <v>92</v>
      </c>
      <c r="E39" s="20" t="s">
        <v>1210</v>
      </c>
      <c r="F39" s="20" t="s">
        <v>1211</v>
      </c>
      <c r="G39" s="19">
        <f t="shared" si="1"/>
        <v>0.98282889513589666</v>
      </c>
      <c r="H39" s="20"/>
    </row>
    <row r="40" spans="1:11" ht="14" customHeight="1" x14ac:dyDescent="0.35">
      <c r="A40" s="20" t="s">
        <v>369</v>
      </c>
      <c r="B40" s="20" t="s">
        <v>370</v>
      </c>
      <c r="C40" s="20" t="s">
        <v>273</v>
      </c>
      <c r="D40" s="20" t="s">
        <v>371</v>
      </c>
      <c r="E40" s="20" t="s">
        <v>372</v>
      </c>
      <c r="F40" s="20" t="s">
        <v>372</v>
      </c>
      <c r="G40" s="19">
        <f t="shared" si="1"/>
        <v>1</v>
      </c>
      <c r="H40" s="20"/>
    </row>
    <row r="43" spans="1:11" ht="14" customHeight="1" x14ac:dyDescent="0.35">
      <c r="A43" s="36" t="s">
        <v>373</v>
      </c>
      <c r="B43" s="20"/>
      <c r="C43" s="20"/>
    </row>
    <row r="44" spans="1:11" ht="63.5" customHeight="1" x14ac:dyDescent="0.35">
      <c r="A44" s="36" t="s">
        <v>24</v>
      </c>
      <c r="B44" s="36" t="s">
        <v>25</v>
      </c>
      <c r="C44" s="36" t="s">
        <v>1184</v>
      </c>
      <c r="D44" s="3"/>
      <c r="E44" s="3"/>
      <c r="F44" s="3"/>
      <c r="G44" s="3"/>
      <c r="H44" s="3"/>
      <c r="I44" s="3"/>
      <c r="J44" s="3"/>
      <c r="K44" s="3"/>
    </row>
    <row r="45" spans="1:11" ht="14" customHeight="1" x14ac:dyDescent="0.35">
      <c r="A45" s="20" t="s">
        <v>378</v>
      </c>
      <c r="B45" s="20" t="s">
        <v>33</v>
      </c>
      <c r="C45" s="14" t="s">
        <v>375</v>
      </c>
    </row>
    <row r="46" spans="1:11" ht="14" customHeight="1" x14ac:dyDescent="0.35">
      <c r="A46" s="20" t="s">
        <v>379</v>
      </c>
      <c r="B46" s="20" t="s">
        <v>33</v>
      </c>
      <c r="C46" s="14" t="s">
        <v>375</v>
      </c>
    </row>
    <row r="47" spans="1:11" ht="14" customHeight="1" x14ac:dyDescent="0.35">
      <c r="A47" s="20" t="s">
        <v>380</v>
      </c>
      <c r="B47" s="20" t="s">
        <v>33</v>
      </c>
      <c r="C47" s="14" t="s">
        <v>375</v>
      </c>
    </row>
    <row r="48" spans="1:11" ht="14" customHeight="1" x14ac:dyDescent="0.35">
      <c r="A48" s="20" t="s">
        <v>381</v>
      </c>
      <c r="B48" s="20" t="s">
        <v>33</v>
      </c>
      <c r="C48" s="14" t="s">
        <v>375</v>
      </c>
    </row>
    <row r="49" spans="1:3" ht="14" customHeight="1" x14ac:dyDescent="0.35">
      <c r="A49" s="20" t="s">
        <v>386</v>
      </c>
      <c r="B49" s="20" t="s">
        <v>33</v>
      </c>
      <c r="C49" s="14" t="s">
        <v>375</v>
      </c>
    </row>
    <row r="50" spans="1:3" ht="14" customHeight="1" x14ac:dyDescent="0.35">
      <c r="A50" s="20" t="s">
        <v>387</v>
      </c>
      <c r="B50" s="20" t="s">
        <v>33</v>
      </c>
      <c r="C50" s="14" t="s">
        <v>375</v>
      </c>
    </row>
    <row r="51" spans="1:3" ht="14" customHeight="1" x14ac:dyDescent="0.35">
      <c r="A51" s="20" t="s">
        <v>388</v>
      </c>
      <c r="B51" s="20" t="s">
        <v>33</v>
      </c>
      <c r="C51" s="14" t="s">
        <v>375</v>
      </c>
    </row>
    <row r="52" spans="1:3" ht="14" customHeight="1" x14ac:dyDescent="0.35">
      <c r="A52" s="20" t="s">
        <v>389</v>
      </c>
      <c r="B52" s="20" t="s">
        <v>33</v>
      </c>
      <c r="C52" s="14" t="s">
        <v>375</v>
      </c>
    </row>
    <row r="53" spans="1:3" ht="14" customHeight="1" x14ac:dyDescent="0.35">
      <c r="A53" s="20" t="s">
        <v>393</v>
      </c>
      <c r="B53" s="20" t="s">
        <v>33</v>
      </c>
      <c r="C53" s="14" t="s">
        <v>375</v>
      </c>
    </row>
    <row r="54" spans="1:3" ht="14" customHeight="1" x14ac:dyDescent="0.35">
      <c r="A54" s="20" t="s">
        <v>394</v>
      </c>
      <c r="B54" s="20" t="s">
        <v>33</v>
      </c>
      <c r="C54" s="14" t="s">
        <v>375</v>
      </c>
    </row>
    <row r="55" spans="1:3" ht="14" customHeight="1" x14ac:dyDescent="0.35">
      <c r="A55" s="20" t="s">
        <v>395</v>
      </c>
      <c r="B55" s="20" t="s">
        <v>33</v>
      </c>
      <c r="C55" s="14" t="s">
        <v>375</v>
      </c>
    </row>
    <row r="56" spans="1:3" ht="14" customHeight="1" x14ac:dyDescent="0.35">
      <c r="A56" s="20" t="s">
        <v>396</v>
      </c>
      <c r="B56" s="20" t="s">
        <v>33</v>
      </c>
      <c r="C56" s="14" t="s">
        <v>375</v>
      </c>
    </row>
    <row r="57" spans="1:3" ht="14" customHeight="1" x14ac:dyDescent="0.35">
      <c r="A57" s="20" t="s">
        <v>397</v>
      </c>
      <c r="B57" s="20" t="s">
        <v>33</v>
      </c>
      <c r="C57" s="14" t="s">
        <v>375</v>
      </c>
    </row>
  </sheetData>
  <phoneticPr fontId="1" type="noConversion"/>
  <conditionalFormatting sqref="A45:A47">
    <cfRule type="duplicateValues" dxfId="1" priority="7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E8B5-4EF5-4487-A32B-17A4282D2D4A}">
  <sheetPr>
    <outlinePr summaryBelow="0" summaryRight="0"/>
  </sheetPr>
  <dimension ref="A1:AN153"/>
  <sheetViews>
    <sheetView topLeftCell="A127" workbookViewId="0">
      <selection activeCell="H98" sqref="H98"/>
    </sheetView>
  </sheetViews>
  <sheetFormatPr defaultColWidth="8.84375" defaultRowHeight="14" customHeight="1" x14ac:dyDescent="0.35"/>
  <cols>
    <col min="1" max="1" width="33.69140625" style="30" customWidth="1"/>
    <col min="2" max="2" width="23.69140625" style="30" customWidth="1"/>
    <col min="3" max="6" width="8.69140625" style="30" customWidth="1"/>
    <col min="7" max="7" width="21.84375" style="11" customWidth="1"/>
    <col min="8" max="8" width="49.3046875" style="11" customWidth="1"/>
    <col min="9" max="13" width="8.69140625" style="30" customWidth="1"/>
    <col min="14" max="40" width="8.69140625" style="30"/>
  </cols>
  <sheetData>
    <row r="1" spans="1:8" ht="14" customHeight="1" x14ac:dyDescent="0.35">
      <c r="A1" s="36" t="s">
        <v>0</v>
      </c>
      <c r="B1" s="20"/>
      <c r="G1" s="30"/>
      <c r="H1" s="30"/>
    </row>
    <row r="2" spans="1:8" ht="14" customHeight="1" x14ac:dyDescent="0.35">
      <c r="A2" s="27" t="s">
        <v>1</v>
      </c>
      <c r="B2" s="20" t="s">
        <v>1177</v>
      </c>
      <c r="G2" s="30"/>
      <c r="H2" s="30"/>
    </row>
    <row r="3" spans="1:8" ht="14" customHeight="1" x14ac:dyDescent="0.35">
      <c r="A3" s="27" t="s">
        <v>3</v>
      </c>
      <c r="B3" s="20" t="s">
        <v>1178</v>
      </c>
      <c r="G3" s="30"/>
      <c r="H3" s="30"/>
    </row>
    <row r="4" spans="1:8" ht="14" customHeight="1" x14ac:dyDescent="0.35">
      <c r="A4" s="27" t="s">
        <v>5</v>
      </c>
      <c r="B4" s="20" t="s">
        <v>1179</v>
      </c>
      <c r="G4" s="30"/>
      <c r="H4" s="30"/>
    </row>
    <row r="5" spans="1:8" ht="14" customHeight="1" x14ac:dyDescent="0.35">
      <c r="A5" s="27" t="s">
        <v>7</v>
      </c>
      <c r="B5" s="20" t="s">
        <v>992</v>
      </c>
      <c r="G5" s="30"/>
      <c r="H5" s="30"/>
    </row>
    <row r="6" spans="1:8" ht="14" customHeight="1" x14ac:dyDescent="0.35">
      <c r="A6" s="27" t="s">
        <v>9</v>
      </c>
      <c r="B6" s="20" t="s">
        <v>1180</v>
      </c>
      <c r="G6" s="30"/>
      <c r="H6" s="30"/>
    </row>
    <row r="7" spans="1:8" ht="14" customHeight="1" x14ac:dyDescent="0.35">
      <c r="A7" s="27" t="s">
        <v>11</v>
      </c>
      <c r="B7" s="20" t="s">
        <v>1181</v>
      </c>
      <c r="G7" s="30"/>
      <c r="H7" s="30"/>
    </row>
    <row r="8" spans="1:8" ht="14" customHeight="1" x14ac:dyDescent="0.35">
      <c r="A8" s="28" t="s">
        <v>13</v>
      </c>
      <c r="B8" s="3" t="s">
        <v>1212</v>
      </c>
      <c r="C8" s="3"/>
      <c r="G8" s="30"/>
      <c r="H8" s="30"/>
    </row>
    <row r="9" spans="1:8" ht="14.25" customHeight="1" x14ac:dyDescent="0.3">
      <c r="A9" s="27" t="s">
        <v>15</v>
      </c>
      <c r="B9" s="24" t="s">
        <v>16</v>
      </c>
      <c r="G9" s="30"/>
      <c r="H9" s="30"/>
    </row>
    <row r="10" spans="1:8" ht="14.25" customHeight="1" x14ac:dyDescent="0.3">
      <c r="A10" s="27" t="s">
        <v>17</v>
      </c>
      <c r="B10" s="24" t="s">
        <v>18</v>
      </c>
      <c r="G10" s="30"/>
      <c r="H10" s="30"/>
    </row>
    <row r="11" spans="1:8" ht="14.25" customHeight="1" x14ac:dyDescent="0.3">
      <c r="A11" s="27" t="s">
        <v>19</v>
      </c>
      <c r="B11" s="24" t="s">
        <v>1183</v>
      </c>
      <c r="G11" s="30"/>
      <c r="H11" s="30"/>
    </row>
    <row r="12" spans="1:8" ht="14.25" customHeight="1" x14ac:dyDescent="0.3">
      <c r="A12" s="27" t="s">
        <v>21</v>
      </c>
      <c r="B12" s="24" t="s">
        <v>22</v>
      </c>
      <c r="G12" s="30"/>
      <c r="H12" s="30"/>
    </row>
    <row r="13" spans="1:8" ht="14" customHeight="1" x14ac:dyDescent="0.35">
      <c r="G13" s="30"/>
      <c r="H13" s="30"/>
    </row>
    <row r="14" spans="1:8" ht="14" customHeight="1" x14ac:dyDescent="0.35">
      <c r="G14" s="30"/>
      <c r="H14" s="30"/>
    </row>
    <row r="15" spans="1:8" ht="14" customHeight="1" x14ac:dyDescent="0.35">
      <c r="G15" s="30"/>
      <c r="H15" s="30"/>
    </row>
    <row r="16" spans="1:8" ht="14" customHeight="1" x14ac:dyDescent="0.35">
      <c r="A16" s="4" t="s">
        <v>24</v>
      </c>
      <c r="B16" s="5"/>
      <c r="C16" s="5"/>
      <c r="D16" s="5"/>
      <c r="E16" s="5"/>
      <c r="F16" s="5"/>
      <c r="G16" s="6"/>
      <c r="H16" s="6"/>
    </row>
    <row r="17" spans="1:8" ht="63.5" customHeight="1" x14ac:dyDescent="0.35">
      <c r="A17" s="36" t="s">
        <v>24</v>
      </c>
      <c r="B17" s="36" t="s">
        <v>25</v>
      </c>
      <c r="C17" s="36" t="s">
        <v>26</v>
      </c>
      <c r="D17" s="36" t="s">
        <v>27</v>
      </c>
      <c r="E17" s="36" t="s">
        <v>1184</v>
      </c>
      <c r="F17" s="36" t="s">
        <v>1185</v>
      </c>
      <c r="G17" s="1" t="s">
        <v>1186</v>
      </c>
      <c r="H17" s="1" t="s">
        <v>31</v>
      </c>
    </row>
    <row r="18" spans="1:8" ht="14" customHeight="1" x14ac:dyDescent="0.35">
      <c r="A18" s="20" t="s">
        <v>283</v>
      </c>
      <c r="B18" s="20" t="s">
        <v>33</v>
      </c>
      <c r="C18" s="20" t="s">
        <v>273</v>
      </c>
      <c r="D18" s="20" t="s">
        <v>284</v>
      </c>
      <c r="E18" s="20" t="s">
        <v>1213</v>
      </c>
      <c r="F18" s="20" t="s">
        <v>1214</v>
      </c>
      <c r="G18" s="9">
        <f t="shared" ref="G18:G23" si="0">E18/F18</f>
        <v>1.0089285714285714</v>
      </c>
      <c r="H18" s="7"/>
    </row>
    <row r="19" spans="1:8" ht="14" customHeight="1" x14ac:dyDescent="0.35">
      <c r="A19" s="20" t="s">
        <v>287</v>
      </c>
      <c r="B19" s="20" t="s">
        <v>33</v>
      </c>
      <c r="C19" s="20" t="s">
        <v>273</v>
      </c>
      <c r="D19" s="20" t="s">
        <v>288</v>
      </c>
      <c r="E19" s="20" t="s">
        <v>1215</v>
      </c>
      <c r="F19" s="20">
        <v>529</v>
      </c>
      <c r="G19" s="10">
        <f t="shared" si="0"/>
        <v>1.0567107750472591</v>
      </c>
      <c r="H19" s="7" t="s">
        <v>40</v>
      </c>
    </row>
    <row r="20" spans="1:8" ht="14" customHeight="1" x14ac:dyDescent="0.35">
      <c r="A20" s="20" t="s">
        <v>291</v>
      </c>
      <c r="B20" s="20" t="s">
        <v>33</v>
      </c>
      <c r="C20" s="20" t="s">
        <v>273</v>
      </c>
      <c r="D20" s="20" t="s">
        <v>292</v>
      </c>
      <c r="E20" s="20" t="s">
        <v>1216</v>
      </c>
      <c r="F20" s="8">
        <v>905.36800000000005</v>
      </c>
      <c r="G20" s="9">
        <f t="shared" si="0"/>
        <v>1.0485813503459367</v>
      </c>
      <c r="H20" s="7"/>
    </row>
    <row r="21" spans="1:8" ht="14" customHeight="1" x14ac:dyDescent="0.35">
      <c r="A21" s="20" t="s">
        <v>296</v>
      </c>
      <c r="B21" s="20" t="s">
        <v>33</v>
      </c>
      <c r="C21" s="20" t="s">
        <v>273</v>
      </c>
      <c r="D21" s="20" t="s">
        <v>292</v>
      </c>
      <c r="E21" s="20" t="s">
        <v>1217</v>
      </c>
      <c r="F21" s="8">
        <v>1487.25</v>
      </c>
      <c r="G21" s="10">
        <f t="shared" si="0"/>
        <v>1.065353504790721</v>
      </c>
      <c r="H21" s="7" t="s">
        <v>40</v>
      </c>
    </row>
    <row r="22" spans="1:8" ht="14" customHeight="1" x14ac:dyDescent="0.35">
      <c r="A22" s="20" t="s">
        <v>299</v>
      </c>
      <c r="B22" s="20" t="s">
        <v>300</v>
      </c>
      <c r="C22" s="20" t="s">
        <v>273</v>
      </c>
      <c r="D22" s="20" t="s">
        <v>301</v>
      </c>
      <c r="E22" s="20" t="s">
        <v>302</v>
      </c>
      <c r="F22" s="20" t="s">
        <v>302</v>
      </c>
      <c r="G22" s="9">
        <f t="shared" si="0"/>
        <v>1</v>
      </c>
      <c r="H22" s="7"/>
    </row>
    <row r="23" spans="1:8" ht="14" customHeight="1" x14ac:dyDescent="0.35">
      <c r="A23" s="20" t="s">
        <v>303</v>
      </c>
      <c r="B23" s="20" t="s">
        <v>300</v>
      </c>
      <c r="C23" s="20" t="s">
        <v>273</v>
      </c>
      <c r="D23" s="20" t="s">
        <v>301</v>
      </c>
      <c r="E23" s="20" t="s">
        <v>304</v>
      </c>
      <c r="F23" s="20" t="s">
        <v>304</v>
      </c>
      <c r="G23" s="9">
        <f t="shared" si="0"/>
        <v>1</v>
      </c>
      <c r="H23" s="7"/>
    </row>
    <row r="24" spans="1:8" ht="14" customHeight="1" x14ac:dyDescent="0.35">
      <c r="A24" s="20" t="s">
        <v>800</v>
      </c>
      <c r="B24" s="20" t="s">
        <v>803</v>
      </c>
      <c r="C24" s="20" t="s">
        <v>273</v>
      </c>
      <c r="D24" s="20" t="s">
        <v>716</v>
      </c>
      <c r="E24" s="20" t="s">
        <v>1218</v>
      </c>
      <c r="F24" s="20" t="s">
        <v>128</v>
      </c>
      <c r="G24" s="7" t="s">
        <v>128</v>
      </c>
      <c r="H24" s="7" t="s">
        <v>211</v>
      </c>
    </row>
    <row r="25" spans="1:8" ht="14" customHeight="1" x14ac:dyDescent="0.35">
      <c r="A25" s="20" t="s">
        <v>805</v>
      </c>
      <c r="B25" s="20" t="s">
        <v>803</v>
      </c>
      <c r="C25" s="20" t="s">
        <v>273</v>
      </c>
      <c r="D25" s="20" t="s">
        <v>716</v>
      </c>
      <c r="E25" s="20" t="s">
        <v>1219</v>
      </c>
      <c r="F25" s="20" t="s">
        <v>128</v>
      </c>
      <c r="G25" s="7" t="s">
        <v>128</v>
      </c>
      <c r="H25" s="7" t="s">
        <v>211</v>
      </c>
    </row>
    <row r="26" spans="1:8" ht="14" customHeight="1" x14ac:dyDescent="0.35">
      <c r="A26" s="20" t="s">
        <v>814</v>
      </c>
      <c r="B26" s="20" t="s">
        <v>803</v>
      </c>
      <c r="C26" s="20" t="s">
        <v>273</v>
      </c>
      <c r="D26" s="20" t="s">
        <v>716</v>
      </c>
      <c r="E26" s="20" t="s">
        <v>1220</v>
      </c>
      <c r="F26" s="20" t="s">
        <v>128</v>
      </c>
      <c r="G26" s="7" t="s">
        <v>128</v>
      </c>
      <c r="H26" s="7" t="s">
        <v>211</v>
      </c>
    </row>
    <row r="27" spans="1:8" ht="14" customHeight="1" x14ac:dyDescent="0.35">
      <c r="A27" s="20" t="s">
        <v>819</v>
      </c>
      <c r="B27" s="20" t="s">
        <v>803</v>
      </c>
      <c r="C27" s="20" t="s">
        <v>273</v>
      </c>
      <c r="D27" s="20" t="s">
        <v>716</v>
      </c>
      <c r="E27" s="20" t="s">
        <v>1221</v>
      </c>
      <c r="F27" s="20" t="s">
        <v>128</v>
      </c>
      <c r="G27" s="7" t="s">
        <v>128</v>
      </c>
      <c r="H27" s="7" t="s">
        <v>211</v>
      </c>
    </row>
    <row r="28" spans="1:8" ht="14" customHeight="1" x14ac:dyDescent="0.35">
      <c r="A28" s="20" t="s">
        <v>824</v>
      </c>
      <c r="B28" s="20" t="s">
        <v>803</v>
      </c>
      <c r="C28" s="20" t="s">
        <v>273</v>
      </c>
      <c r="D28" s="20" t="s">
        <v>716</v>
      </c>
      <c r="E28" s="20" t="s">
        <v>1222</v>
      </c>
      <c r="F28" s="20" t="s">
        <v>128</v>
      </c>
      <c r="G28" s="7" t="s">
        <v>128</v>
      </c>
      <c r="H28" s="7" t="s">
        <v>211</v>
      </c>
    </row>
    <row r="29" spans="1:8" ht="14" customHeight="1" x14ac:dyDescent="0.35">
      <c r="A29" s="20" t="s">
        <v>829</v>
      </c>
      <c r="B29" s="20" t="s">
        <v>803</v>
      </c>
      <c r="C29" s="20" t="s">
        <v>273</v>
      </c>
      <c r="D29" s="20" t="s">
        <v>716</v>
      </c>
      <c r="E29" s="20" t="s">
        <v>1223</v>
      </c>
      <c r="F29" s="20" t="s">
        <v>128</v>
      </c>
      <c r="G29" s="7" t="s">
        <v>128</v>
      </c>
      <c r="H29" s="7" t="s">
        <v>211</v>
      </c>
    </row>
    <row r="30" spans="1:8" ht="14" customHeight="1" x14ac:dyDescent="0.35">
      <c r="A30" s="20" t="s">
        <v>844</v>
      </c>
      <c r="B30" s="20" t="s">
        <v>33</v>
      </c>
      <c r="C30" s="20" t="s">
        <v>273</v>
      </c>
      <c r="D30" s="20" t="s">
        <v>835</v>
      </c>
      <c r="E30" s="20" t="s">
        <v>1224</v>
      </c>
      <c r="F30" s="20" t="s">
        <v>1225</v>
      </c>
      <c r="G30" s="9">
        <f t="shared" ref="G30:G48" si="1">E30/F30</f>
        <v>1.0137674590126151</v>
      </c>
      <c r="H30" s="7"/>
    </row>
    <row r="31" spans="1:8" ht="14" customHeight="1" x14ac:dyDescent="0.35">
      <c r="A31" s="20" t="s">
        <v>852</v>
      </c>
      <c r="B31" s="20" t="s">
        <v>33</v>
      </c>
      <c r="C31" s="20" t="s">
        <v>273</v>
      </c>
      <c r="D31" s="20" t="s">
        <v>835</v>
      </c>
      <c r="E31" s="20" t="s">
        <v>1226</v>
      </c>
      <c r="F31" s="20" t="s">
        <v>1227</v>
      </c>
      <c r="G31" s="9">
        <f t="shared" si="1"/>
        <v>1.0087408893126073</v>
      </c>
      <c r="H31" s="7"/>
    </row>
    <row r="32" spans="1:8" ht="14" customHeight="1" x14ac:dyDescent="0.35">
      <c r="A32" s="20" t="s">
        <v>862</v>
      </c>
      <c r="B32" s="20" t="s">
        <v>866</v>
      </c>
      <c r="C32" s="20" t="s">
        <v>273</v>
      </c>
      <c r="D32" s="20" t="s">
        <v>716</v>
      </c>
      <c r="E32" s="20" t="s">
        <v>1228</v>
      </c>
      <c r="F32" s="8">
        <v>13.363</v>
      </c>
      <c r="G32" s="10">
        <f t="shared" si="1"/>
        <v>1.0525331138217466</v>
      </c>
      <c r="H32" s="7" t="s">
        <v>40</v>
      </c>
    </row>
    <row r="33" spans="1:8" ht="14" customHeight="1" x14ac:dyDescent="0.35">
      <c r="A33" s="20" t="s">
        <v>869</v>
      </c>
      <c r="B33" s="20" t="s">
        <v>866</v>
      </c>
      <c r="C33" s="20" t="s">
        <v>273</v>
      </c>
      <c r="D33" s="20" t="s">
        <v>716</v>
      </c>
      <c r="E33" s="20" t="s">
        <v>1229</v>
      </c>
      <c r="F33" s="20" t="s">
        <v>1230</v>
      </c>
      <c r="G33" s="9">
        <f t="shared" si="1"/>
        <v>1.019047619047619</v>
      </c>
      <c r="H33" s="7"/>
    </row>
    <row r="34" spans="1:8" ht="14" customHeight="1" x14ac:dyDescent="0.35">
      <c r="A34" s="20" t="s">
        <v>874</v>
      </c>
      <c r="B34" s="20" t="s">
        <v>866</v>
      </c>
      <c r="C34" s="20" t="s">
        <v>273</v>
      </c>
      <c r="D34" s="20" t="s">
        <v>716</v>
      </c>
      <c r="E34" s="20" t="s">
        <v>1231</v>
      </c>
      <c r="F34" s="20" t="s">
        <v>1232</v>
      </c>
      <c r="G34" s="9">
        <f t="shared" si="1"/>
        <v>1.0470035252643948</v>
      </c>
      <c r="H34" s="7"/>
    </row>
    <row r="35" spans="1:8" ht="14" customHeight="1" x14ac:dyDescent="0.35">
      <c r="A35" s="20" t="s">
        <v>879</v>
      </c>
      <c r="B35" s="20" t="s">
        <v>866</v>
      </c>
      <c r="C35" s="20" t="s">
        <v>273</v>
      </c>
      <c r="D35" s="20" t="s">
        <v>716</v>
      </c>
      <c r="E35" s="20" t="s">
        <v>1233</v>
      </c>
      <c r="F35" s="20" t="s">
        <v>1234</v>
      </c>
      <c r="G35" s="9">
        <f t="shared" si="1"/>
        <v>1.1062740076824584</v>
      </c>
      <c r="H35" s="7"/>
    </row>
    <row r="36" spans="1:8" ht="14" customHeight="1" x14ac:dyDescent="0.35">
      <c r="A36" s="20" t="s">
        <v>884</v>
      </c>
      <c r="B36" s="20" t="s">
        <v>866</v>
      </c>
      <c r="C36" s="20" t="s">
        <v>273</v>
      </c>
      <c r="D36" s="20" t="s">
        <v>716</v>
      </c>
      <c r="E36" s="20" t="s">
        <v>1235</v>
      </c>
      <c r="F36" s="20" t="s">
        <v>1236</v>
      </c>
      <c r="G36" s="9">
        <f t="shared" si="1"/>
        <v>1.0438785750125439</v>
      </c>
      <c r="H36" s="7"/>
    </row>
    <row r="37" spans="1:8" ht="14" customHeight="1" x14ac:dyDescent="0.35">
      <c r="A37" s="20" t="s">
        <v>889</v>
      </c>
      <c r="B37" s="20" t="s">
        <v>866</v>
      </c>
      <c r="C37" s="20" t="s">
        <v>273</v>
      </c>
      <c r="D37" s="20" t="s">
        <v>716</v>
      </c>
      <c r="E37" s="20" t="s">
        <v>1237</v>
      </c>
      <c r="F37" s="20" t="s">
        <v>1238</v>
      </c>
      <c r="G37" s="9">
        <f t="shared" si="1"/>
        <v>1.026727838380656</v>
      </c>
      <c r="H37" s="7"/>
    </row>
    <row r="38" spans="1:8" ht="14" customHeight="1" x14ac:dyDescent="0.35">
      <c r="A38" s="20" t="s">
        <v>894</v>
      </c>
      <c r="B38" s="20" t="s">
        <v>866</v>
      </c>
      <c r="C38" s="20" t="s">
        <v>273</v>
      </c>
      <c r="D38" s="20" t="s">
        <v>895</v>
      </c>
      <c r="E38" s="20" t="s">
        <v>1239</v>
      </c>
      <c r="F38" s="20" t="s">
        <v>1240</v>
      </c>
      <c r="G38" s="9">
        <f t="shared" si="1"/>
        <v>1.0285860132720777</v>
      </c>
      <c r="H38" s="7"/>
    </row>
    <row r="39" spans="1:8" ht="14" customHeight="1" x14ac:dyDescent="0.35">
      <c r="A39" s="20" t="s">
        <v>905</v>
      </c>
      <c r="B39" s="20" t="s">
        <v>906</v>
      </c>
      <c r="C39" s="20" t="s">
        <v>273</v>
      </c>
      <c r="D39" s="20" t="s">
        <v>902</v>
      </c>
      <c r="E39" s="20" t="s">
        <v>1241</v>
      </c>
      <c r="F39" s="8">
        <v>1686.4369999999999</v>
      </c>
      <c r="G39" s="9">
        <f t="shared" si="1"/>
        <v>0.98456687086443206</v>
      </c>
      <c r="H39" s="7"/>
    </row>
    <row r="40" spans="1:8" ht="14.25" customHeight="1" x14ac:dyDescent="0.35">
      <c r="A40" s="20" t="s">
        <v>909</v>
      </c>
      <c r="B40" s="20" t="s">
        <v>906</v>
      </c>
      <c r="C40" s="20" t="s">
        <v>273</v>
      </c>
      <c r="D40" s="20" t="s">
        <v>902</v>
      </c>
      <c r="E40" s="20">
        <v>234.48400000000001</v>
      </c>
      <c r="F40" s="8">
        <v>237.61099999999999</v>
      </c>
      <c r="G40" s="9">
        <f t="shared" si="1"/>
        <v>0.98683983485613047</v>
      </c>
      <c r="H40" s="7"/>
    </row>
    <row r="41" spans="1:8" ht="14.25" customHeight="1" x14ac:dyDescent="0.35">
      <c r="A41" s="20" t="s">
        <v>912</v>
      </c>
      <c r="B41" s="20" t="s">
        <v>906</v>
      </c>
      <c r="C41" s="20" t="s">
        <v>273</v>
      </c>
      <c r="D41" s="20" t="s">
        <v>902</v>
      </c>
      <c r="E41" s="20" t="s">
        <v>1242</v>
      </c>
      <c r="F41" s="8">
        <v>531.83199999999999</v>
      </c>
      <c r="G41" s="9">
        <f t="shared" si="1"/>
        <v>1.0383993441537929</v>
      </c>
      <c r="H41" s="7"/>
    </row>
    <row r="42" spans="1:8" ht="14" customHeight="1" x14ac:dyDescent="0.35">
      <c r="A42" s="20" t="s">
        <v>345</v>
      </c>
      <c r="B42" s="20" t="s">
        <v>33</v>
      </c>
      <c r="C42" s="20" t="s">
        <v>273</v>
      </c>
      <c r="D42" s="20" t="s">
        <v>92</v>
      </c>
      <c r="E42" s="20" t="s">
        <v>1243</v>
      </c>
      <c r="F42" s="20" t="s">
        <v>1211</v>
      </c>
      <c r="G42" s="9">
        <f t="shared" si="1"/>
        <v>0.98079930488899103</v>
      </c>
      <c r="H42" s="7"/>
    </row>
    <row r="43" spans="1:8" ht="14" customHeight="1" x14ac:dyDescent="0.35">
      <c r="A43" s="20" t="s">
        <v>941</v>
      </c>
      <c r="B43" s="20" t="s">
        <v>937</v>
      </c>
      <c r="C43" s="20" t="s">
        <v>273</v>
      </c>
      <c r="D43" s="20" t="s">
        <v>938</v>
      </c>
      <c r="E43" s="20" t="s">
        <v>1244</v>
      </c>
      <c r="F43" s="8">
        <v>0.57399999999999995</v>
      </c>
      <c r="G43" s="10">
        <f t="shared" si="1"/>
        <v>1.0975609756097562</v>
      </c>
      <c r="H43" s="7" t="s">
        <v>40</v>
      </c>
    </row>
    <row r="44" spans="1:8" ht="14" customHeight="1" x14ac:dyDescent="0.35">
      <c r="A44" s="20" t="s">
        <v>943</v>
      </c>
      <c r="B44" s="20" t="s">
        <v>937</v>
      </c>
      <c r="C44" s="20" t="s">
        <v>273</v>
      </c>
      <c r="D44" s="20" t="s">
        <v>938</v>
      </c>
      <c r="E44" s="20" t="s">
        <v>1245</v>
      </c>
      <c r="F44" s="8">
        <v>1.526</v>
      </c>
      <c r="G44" s="10">
        <f t="shared" si="1"/>
        <v>1.1900393184796856</v>
      </c>
      <c r="H44" s="7" t="s">
        <v>40</v>
      </c>
    </row>
    <row r="45" spans="1:8" ht="14" customHeight="1" x14ac:dyDescent="0.35">
      <c r="A45" s="20" t="s">
        <v>369</v>
      </c>
      <c r="B45" s="20" t="s">
        <v>370</v>
      </c>
      <c r="C45" s="20" t="s">
        <v>273</v>
      </c>
      <c r="D45" s="20" t="s">
        <v>371</v>
      </c>
      <c r="E45" s="20" t="s">
        <v>372</v>
      </c>
      <c r="F45" s="20" t="s">
        <v>372</v>
      </c>
      <c r="G45" s="9">
        <f t="shared" si="1"/>
        <v>1</v>
      </c>
      <c r="H45" s="7"/>
    </row>
    <row r="46" spans="1:8" ht="14" customHeight="1" x14ac:dyDescent="0.35">
      <c r="A46" s="20" t="s">
        <v>948</v>
      </c>
      <c r="B46" s="20" t="s">
        <v>33</v>
      </c>
      <c r="C46" s="20" t="s">
        <v>273</v>
      </c>
      <c r="D46" s="20" t="s">
        <v>835</v>
      </c>
      <c r="E46" s="20" t="s">
        <v>1246</v>
      </c>
      <c r="F46" s="20" t="s">
        <v>1247</v>
      </c>
      <c r="G46" s="9">
        <f t="shared" si="1"/>
        <v>1.0074528792355049</v>
      </c>
      <c r="H46" s="7"/>
    </row>
    <row r="47" spans="1:8" ht="14" customHeight="1" x14ac:dyDescent="0.35">
      <c r="A47" s="20" t="s">
        <v>951</v>
      </c>
      <c r="B47" s="20" t="s">
        <v>33</v>
      </c>
      <c r="C47" s="20" t="s">
        <v>273</v>
      </c>
      <c r="D47" s="20" t="s">
        <v>835</v>
      </c>
      <c r="E47" s="20" t="s">
        <v>1248</v>
      </c>
      <c r="F47" s="20" t="s">
        <v>1249</v>
      </c>
      <c r="G47" s="9">
        <f t="shared" si="1"/>
        <v>1.0272262887400716</v>
      </c>
      <c r="H47" s="7"/>
    </row>
    <row r="48" spans="1:8" ht="14" customHeight="1" x14ac:dyDescent="0.35">
      <c r="A48" s="20" t="s">
        <v>954</v>
      </c>
      <c r="B48" s="20" t="s">
        <v>33</v>
      </c>
      <c r="C48" s="20" t="s">
        <v>273</v>
      </c>
      <c r="D48" s="20" t="s">
        <v>835</v>
      </c>
      <c r="E48" s="20" t="s">
        <v>1250</v>
      </c>
      <c r="F48" s="20" t="s">
        <v>1251</v>
      </c>
      <c r="G48" s="9">
        <f t="shared" si="1"/>
        <v>1.0146890300133002</v>
      </c>
      <c r="H48" s="7"/>
    </row>
    <row r="55" spans="1:8" ht="14" customHeight="1" x14ac:dyDescent="0.35">
      <c r="A55" s="36" t="s">
        <v>273</v>
      </c>
      <c r="B55" s="20"/>
      <c r="C55" s="20"/>
      <c r="D55" s="20"/>
      <c r="E55" s="20"/>
      <c r="F55" s="20"/>
      <c r="G55" s="7"/>
      <c r="H55" s="7"/>
    </row>
    <row r="56" spans="1:8" ht="42" customHeight="1" x14ac:dyDescent="0.35">
      <c r="A56" s="36" t="s">
        <v>24</v>
      </c>
      <c r="B56" s="36" t="s">
        <v>25</v>
      </c>
      <c r="C56" s="36" t="s">
        <v>26</v>
      </c>
      <c r="D56" s="36" t="s">
        <v>27</v>
      </c>
      <c r="E56" s="36" t="s">
        <v>1184</v>
      </c>
      <c r="F56" s="36" t="s">
        <v>1185</v>
      </c>
      <c r="G56" s="1" t="s">
        <v>1186</v>
      </c>
      <c r="H56" s="1" t="s">
        <v>31</v>
      </c>
    </row>
    <row r="57" spans="1:8" ht="14" customHeight="1" x14ac:dyDescent="0.35">
      <c r="A57" s="20" t="s">
        <v>456</v>
      </c>
      <c r="B57" s="20" t="s">
        <v>33</v>
      </c>
      <c r="C57" s="20" t="s">
        <v>23</v>
      </c>
      <c r="D57" s="20" t="s">
        <v>58</v>
      </c>
      <c r="E57" s="20" t="s">
        <v>1252</v>
      </c>
      <c r="F57" s="14">
        <v>79.989000000000004</v>
      </c>
      <c r="G57" s="19">
        <f t="shared" ref="G57:G88" si="2">E57/F57</f>
        <v>1.0047131480578579</v>
      </c>
      <c r="H57" s="7"/>
    </row>
    <row r="58" spans="1:8" ht="14" customHeight="1" x14ac:dyDescent="0.35">
      <c r="A58" s="20" t="s">
        <v>464</v>
      </c>
      <c r="B58" s="20" t="s">
        <v>33</v>
      </c>
      <c r="C58" s="20" t="s">
        <v>23</v>
      </c>
      <c r="D58" s="20" t="s">
        <v>170</v>
      </c>
      <c r="E58" s="20" t="s">
        <v>1253</v>
      </c>
      <c r="F58" s="14">
        <v>183.67</v>
      </c>
      <c r="G58" s="19">
        <f t="shared" si="2"/>
        <v>0.99377143790493838</v>
      </c>
      <c r="H58" s="7"/>
    </row>
    <row r="59" spans="1:8" ht="14" customHeight="1" x14ac:dyDescent="0.35">
      <c r="A59" s="20" t="s">
        <v>467</v>
      </c>
      <c r="B59" s="20" t="s">
        <v>33</v>
      </c>
      <c r="C59" s="20" t="s">
        <v>23</v>
      </c>
      <c r="D59" s="20" t="s">
        <v>170</v>
      </c>
      <c r="E59" s="20" t="s">
        <v>1254</v>
      </c>
      <c r="F59" s="14">
        <v>5737.72</v>
      </c>
      <c r="G59" s="19">
        <f t="shared" si="2"/>
        <v>0.99662758029321741</v>
      </c>
      <c r="H59" s="7"/>
    </row>
    <row r="60" spans="1:8" ht="14" customHeight="1" x14ac:dyDescent="0.35">
      <c r="A60" s="20" t="s">
        <v>61</v>
      </c>
      <c r="B60" s="20" t="s">
        <v>33</v>
      </c>
      <c r="C60" s="20" t="s">
        <v>23</v>
      </c>
      <c r="D60" s="20" t="s">
        <v>58</v>
      </c>
      <c r="E60" s="20" t="s">
        <v>1255</v>
      </c>
      <c r="F60" s="14">
        <v>266.24700000000001</v>
      </c>
      <c r="G60" s="2">
        <f t="shared" si="2"/>
        <v>1.0904949163746445</v>
      </c>
      <c r="H60" s="20" t="s">
        <v>64</v>
      </c>
    </row>
    <row r="61" spans="1:8" ht="14" customHeight="1" x14ac:dyDescent="0.35">
      <c r="A61" s="20" t="s">
        <v>65</v>
      </c>
      <c r="B61" s="20" t="s">
        <v>33</v>
      </c>
      <c r="C61" s="20" t="s">
        <v>23</v>
      </c>
      <c r="D61" s="20" t="s">
        <v>58</v>
      </c>
      <c r="E61" s="20" t="s">
        <v>1256</v>
      </c>
      <c r="F61" s="14">
        <v>145.96600000000001</v>
      </c>
      <c r="G61" s="2">
        <f t="shared" si="2"/>
        <v>1.1169518929065672</v>
      </c>
      <c r="H61" s="20" t="s">
        <v>64</v>
      </c>
    </row>
    <row r="62" spans="1:8" ht="14" customHeight="1" x14ac:dyDescent="0.35">
      <c r="A62" s="20" t="s">
        <v>68</v>
      </c>
      <c r="B62" s="20" t="s">
        <v>33</v>
      </c>
      <c r="C62" s="20" t="s">
        <v>23</v>
      </c>
      <c r="D62" s="20" t="s">
        <v>58</v>
      </c>
      <c r="E62" s="20" t="s">
        <v>1257</v>
      </c>
      <c r="F62" s="14">
        <v>220.81299999999999</v>
      </c>
      <c r="G62" s="2">
        <f t="shared" si="2"/>
        <v>1.0561017693704629</v>
      </c>
      <c r="H62" s="20" t="s">
        <v>64</v>
      </c>
    </row>
    <row r="63" spans="1:8" ht="14" customHeight="1" x14ac:dyDescent="0.35">
      <c r="A63" s="20" t="s">
        <v>71</v>
      </c>
      <c r="B63" s="20" t="s">
        <v>33</v>
      </c>
      <c r="C63" s="20" t="s">
        <v>23</v>
      </c>
      <c r="D63" s="20" t="s">
        <v>58</v>
      </c>
      <c r="E63" s="20" t="s">
        <v>1258</v>
      </c>
      <c r="F63" s="14">
        <v>216.941</v>
      </c>
      <c r="G63" s="2">
        <f t="shared" si="2"/>
        <v>1.0798604228799535</v>
      </c>
      <c r="H63" s="20" t="s">
        <v>64</v>
      </c>
    </row>
    <row r="64" spans="1:8" ht="14" customHeight="1" x14ac:dyDescent="0.35">
      <c r="A64" s="20" t="s">
        <v>473</v>
      </c>
      <c r="B64" s="20" t="s">
        <v>474</v>
      </c>
      <c r="C64" s="20" t="s">
        <v>23</v>
      </c>
      <c r="D64" s="20" t="s">
        <v>58</v>
      </c>
      <c r="E64" s="20" t="s">
        <v>1259</v>
      </c>
      <c r="F64" s="14">
        <v>180.959</v>
      </c>
      <c r="G64" s="19">
        <f t="shared" si="2"/>
        <v>0.96308556081764374</v>
      </c>
      <c r="H64" s="7"/>
    </row>
    <row r="65" spans="1:8" ht="14" customHeight="1" x14ac:dyDescent="0.35">
      <c r="A65" s="20" t="s">
        <v>477</v>
      </c>
      <c r="B65" s="20" t="s">
        <v>474</v>
      </c>
      <c r="C65" s="20" t="s">
        <v>23</v>
      </c>
      <c r="D65" s="20" t="s">
        <v>58</v>
      </c>
      <c r="E65" s="20" t="s">
        <v>1260</v>
      </c>
      <c r="F65" s="14">
        <v>3.597</v>
      </c>
      <c r="G65" s="19">
        <f t="shared" si="2"/>
        <v>0.95551848762857938</v>
      </c>
      <c r="H65" s="7"/>
    </row>
    <row r="66" spans="1:8" ht="14" customHeight="1" x14ac:dyDescent="0.35">
      <c r="A66" s="20" t="s">
        <v>98</v>
      </c>
      <c r="B66" s="20" t="s">
        <v>33</v>
      </c>
      <c r="C66" s="20" t="s">
        <v>23</v>
      </c>
      <c r="D66" s="20" t="s">
        <v>58</v>
      </c>
      <c r="E66" s="20" t="s">
        <v>1261</v>
      </c>
      <c r="F66" s="14">
        <v>3.1269999999999998</v>
      </c>
      <c r="G66" s="19">
        <f t="shared" si="2"/>
        <v>1.0083146786056925</v>
      </c>
      <c r="H66" s="7"/>
    </row>
    <row r="67" spans="1:8" ht="14" customHeight="1" x14ac:dyDescent="0.35">
      <c r="A67" s="20" t="s">
        <v>100</v>
      </c>
      <c r="B67" s="20" t="s">
        <v>33</v>
      </c>
      <c r="C67" s="20" t="s">
        <v>23</v>
      </c>
      <c r="D67" s="20" t="s">
        <v>58</v>
      </c>
      <c r="E67" s="20" t="s">
        <v>1262</v>
      </c>
      <c r="F67" s="14">
        <v>183.00899999999999</v>
      </c>
      <c r="G67" s="19">
        <f t="shared" si="2"/>
        <v>0.98745963313279683</v>
      </c>
      <c r="H67" s="7"/>
    </row>
    <row r="68" spans="1:8" ht="14" customHeight="1" x14ac:dyDescent="0.35">
      <c r="A68" s="20" t="s">
        <v>104</v>
      </c>
      <c r="B68" s="20" t="s">
        <v>33</v>
      </c>
      <c r="C68" s="20" t="s">
        <v>23</v>
      </c>
      <c r="D68" s="20" t="s">
        <v>58</v>
      </c>
      <c r="E68" s="20" t="s">
        <v>1263</v>
      </c>
      <c r="F68" s="14">
        <v>61.234999999999999</v>
      </c>
      <c r="G68" s="19">
        <f t="shared" si="2"/>
        <v>1.0114640320078385</v>
      </c>
      <c r="H68" s="14"/>
    </row>
    <row r="69" spans="1:8" ht="14" customHeight="1" x14ac:dyDescent="0.35">
      <c r="A69" s="20" t="s">
        <v>108</v>
      </c>
      <c r="B69" s="20" t="s">
        <v>33</v>
      </c>
      <c r="C69" s="20" t="s">
        <v>23</v>
      </c>
      <c r="D69" s="20" t="s">
        <v>58</v>
      </c>
      <c r="E69" s="20" t="s">
        <v>1264</v>
      </c>
      <c r="F69" s="14">
        <v>109.95099999999999</v>
      </c>
      <c r="G69" s="19">
        <f t="shared" si="2"/>
        <v>0.99628925612318231</v>
      </c>
      <c r="H69" s="14"/>
    </row>
    <row r="70" spans="1:8" ht="14" customHeight="1" x14ac:dyDescent="0.35">
      <c r="A70" s="20" t="s">
        <v>112</v>
      </c>
      <c r="B70" s="20" t="s">
        <v>33</v>
      </c>
      <c r="C70" s="20" t="s">
        <v>23</v>
      </c>
      <c r="D70" s="20" t="s">
        <v>58</v>
      </c>
      <c r="E70" s="20" t="s">
        <v>1265</v>
      </c>
      <c r="F70" s="14">
        <v>2203.2660000000001</v>
      </c>
      <c r="G70" s="19">
        <f t="shared" si="2"/>
        <v>1.0005301221005545</v>
      </c>
      <c r="H70" s="14"/>
    </row>
    <row r="71" spans="1:8" ht="14" customHeight="1" x14ac:dyDescent="0.35">
      <c r="A71" s="20" t="s">
        <v>512</v>
      </c>
      <c r="B71" s="20" t="s">
        <v>513</v>
      </c>
      <c r="C71" s="20" t="s">
        <v>23</v>
      </c>
      <c r="D71" s="20" t="s">
        <v>58</v>
      </c>
      <c r="E71" s="20" t="s">
        <v>1266</v>
      </c>
      <c r="F71" s="14">
        <v>22.888000000000002</v>
      </c>
      <c r="G71" s="19">
        <f t="shared" si="2"/>
        <v>0.96032855644879411</v>
      </c>
      <c r="H71" s="14"/>
    </row>
    <row r="72" spans="1:8" ht="14" customHeight="1" x14ac:dyDescent="0.35">
      <c r="A72" s="20" t="s">
        <v>133</v>
      </c>
      <c r="B72" s="20" t="s">
        <v>33</v>
      </c>
      <c r="C72" s="20" t="s">
        <v>23</v>
      </c>
      <c r="D72" s="20" t="s">
        <v>58</v>
      </c>
      <c r="E72" s="20" t="s">
        <v>1267</v>
      </c>
      <c r="F72" s="14">
        <v>3132.63</v>
      </c>
      <c r="G72" s="2">
        <f t="shared" si="2"/>
        <v>0.86118884132502083</v>
      </c>
      <c r="H72" s="20" t="s">
        <v>40</v>
      </c>
    </row>
    <row r="73" spans="1:8" ht="14" customHeight="1" x14ac:dyDescent="0.35">
      <c r="A73" s="20" t="s">
        <v>136</v>
      </c>
      <c r="B73" s="20" t="s">
        <v>33</v>
      </c>
      <c r="C73" s="20" t="s">
        <v>23</v>
      </c>
      <c r="D73" s="20" t="s">
        <v>58</v>
      </c>
      <c r="E73" s="20" t="s">
        <v>1268</v>
      </c>
      <c r="F73" s="14">
        <v>3092.502</v>
      </c>
      <c r="G73" s="2">
        <f t="shared" si="2"/>
        <v>0.8643764822140777</v>
      </c>
      <c r="H73" s="20" t="s">
        <v>40</v>
      </c>
    </row>
    <row r="74" spans="1:8" ht="14" customHeight="1" x14ac:dyDescent="0.35">
      <c r="A74" s="20" t="s">
        <v>139</v>
      </c>
      <c r="B74" s="20" t="s">
        <v>33</v>
      </c>
      <c r="C74" s="20" t="s">
        <v>23</v>
      </c>
      <c r="D74" s="20" t="s">
        <v>58</v>
      </c>
      <c r="E74" s="20" t="s">
        <v>1269</v>
      </c>
      <c r="F74" s="14">
        <v>3182.29</v>
      </c>
      <c r="G74" s="2">
        <f t="shared" si="2"/>
        <v>0.86869958426164817</v>
      </c>
      <c r="H74" s="20" t="s">
        <v>40</v>
      </c>
    </row>
    <row r="75" spans="1:8" ht="14" customHeight="1" x14ac:dyDescent="0.35">
      <c r="A75" s="20" t="s">
        <v>535</v>
      </c>
      <c r="B75" s="20" t="s">
        <v>536</v>
      </c>
      <c r="C75" s="20" t="s">
        <v>23</v>
      </c>
      <c r="D75" s="20" t="s">
        <v>58</v>
      </c>
      <c r="E75" s="20" t="s">
        <v>1270</v>
      </c>
      <c r="F75" s="14">
        <v>16.065000000000001</v>
      </c>
      <c r="G75" s="19">
        <f t="shared" si="2"/>
        <v>0.97690631808278861</v>
      </c>
      <c r="H75" s="7"/>
    </row>
    <row r="76" spans="1:8" ht="14" customHeight="1" x14ac:dyDescent="0.35">
      <c r="A76" s="20" t="s">
        <v>539</v>
      </c>
      <c r="B76" s="20" t="s">
        <v>536</v>
      </c>
      <c r="C76" s="20" t="s">
        <v>23</v>
      </c>
      <c r="D76" s="20" t="s">
        <v>58</v>
      </c>
      <c r="E76" s="20" t="s">
        <v>1271</v>
      </c>
      <c r="F76" s="14">
        <v>36</v>
      </c>
      <c r="G76" s="19">
        <f t="shared" si="2"/>
        <v>1.0385</v>
      </c>
      <c r="H76" s="7"/>
    </row>
    <row r="77" spans="1:8" ht="14" customHeight="1" x14ac:dyDescent="0.35">
      <c r="A77" s="20" t="s">
        <v>541</v>
      </c>
      <c r="B77" s="20" t="s">
        <v>536</v>
      </c>
      <c r="C77" s="20" t="s">
        <v>23</v>
      </c>
      <c r="D77" s="20" t="s">
        <v>58</v>
      </c>
      <c r="E77" s="20" t="s">
        <v>1272</v>
      </c>
      <c r="F77" s="14">
        <v>4997</v>
      </c>
      <c r="G77" s="19">
        <f t="shared" si="2"/>
        <v>0.97678607164298581</v>
      </c>
      <c r="H77" s="7"/>
    </row>
    <row r="78" spans="1:8" ht="14" customHeight="1" x14ac:dyDescent="0.35">
      <c r="A78" s="14" t="s">
        <v>544</v>
      </c>
      <c r="B78" s="20" t="s">
        <v>536</v>
      </c>
      <c r="C78" s="20" t="s">
        <v>23</v>
      </c>
      <c r="D78" s="20" t="s">
        <v>58</v>
      </c>
      <c r="E78" s="20">
        <v>6283</v>
      </c>
      <c r="F78" s="14">
        <v>6296</v>
      </c>
      <c r="G78" s="19">
        <f t="shared" si="2"/>
        <v>0.99793519695044475</v>
      </c>
      <c r="H78" s="7"/>
    </row>
    <row r="79" spans="1:8" ht="14" customHeight="1" x14ac:dyDescent="0.35">
      <c r="A79" s="20" t="s">
        <v>547</v>
      </c>
      <c r="B79" s="20" t="s">
        <v>536</v>
      </c>
      <c r="C79" s="20" t="s">
        <v>23</v>
      </c>
      <c r="D79" s="20" t="s">
        <v>58</v>
      </c>
      <c r="E79" s="20" t="s">
        <v>1273</v>
      </c>
      <c r="F79" s="14">
        <v>203.304</v>
      </c>
      <c r="G79" s="19">
        <f t="shared" si="2"/>
        <v>0.97936587573289269</v>
      </c>
      <c r="H79" s="7"/>
    </row>
    <row r="80" spans="1:8" ht="14" customHeight="1" x14ac:dyDescent="0.35">
      <c r="A80" s="20" t="s">
        <v>551</v>
      </c>
      <c r="B80" s="20" t="s">
        <v>33</v>
      </c>
      <c r="C80" s="20" t="s">
        <v>23</v>
      </c>
      <c r="D80" s="20" t="s">
        <v>552</v>
      </c>
      <c r="E80" s="20" t="s">
        <v>1274</v>
      </c>
      <c r="F80" s="14">
        <v>9.8000000000000004E-2</v>
      </c>
      <c r="G80" s="2">
        <f t="shared" si="2"/>
        <v>0.93877551020408156</v>
      </c>
      <c r="H80" s="20" t="s">
        <v>40</v>
      </c>
    </row>
    <row r="81" spans="1:8" ht="14" customHeight="1" x14ac:dyDescent="0.35">
      <c r="A81" s="20" t="s">
        <v>553</v>
      </c>
      <c r="B81" s="20" t="s">
        <v>33</v>
      </c>
      <c r="C81" s="20" t="s">
        <v>23</v>
      </c>
      <c r="D81" s="20" t="s">
        <v>552</v>
      </c>
      <c r="E81" s="20" t="s">
        <v>1275</v>
      </c>
      <c r="F81" s="14">
        <v>0.30399999999999999</v>
      </c>
      <c r="G81" s="19">
        <f t="shared" si="2"/>
        <v>0.96710526315789469</v>
      </c>
      <c r="H81" s="7"/>
    </row>
    <row r="82" spans="1:8" ht="14" customHeight="1" x14ac:dyDescent="0.35">
      <c r="A82" s="20" t="s">
        <v>556</v>
      </c>
      <c r="B82" s="20" t="s">
        <v>33</v>
      </c>
      <c r="C82" s="20" t="s">
        <v>23</v>
      </c>
      <c r="D82" s="20" t="s">
        <v>552</v>
      </c>
      <c r="E82" s="20" t="s">
        <v>1276</v>
      </c>
      <c r="F82" s="14">
        <v>0.97199999999999998</v>
      </c>
      <c r="G82" s="19">
        <f t="shared" si="2"/>
        <v>1.0061728395061729</v>
      </c>
      <c r="H82" s="7"/>
    </row>
    <row r="83" spans="1:8" ht="14" customHeight="1" x14ac:dyDescent="0.35">
      <c r="A83" s="20" t="s">
        <v>169</v>
      </c>
      <c r="B83" s="20" t="s">
        <v>33</v>
      </c>
      <c r="C83" s="20" t="s">
        <v>23</v>
      </c>
      <c r="D83" s="20" t="s">
        <v>170</v>
      </c>
      <c r="E83" s="20" t="s">
        <v>1277</v>
      </c>
      <c r="F83" s="14">
        <v>316367.94400000002</v>
      </c>
      <c r="G83" s="19">
        <f t="shared" si="2"/>
        <v>1.0011322828585945</v>
      </c>
      <c r="H83" s="7"/>
    </row>
    <row r="84" spans="1:8" ht="14" customHeight="1" x14ac:dyDescent="0.35">
      <c r="A84" s="20" t="s">
        <v>173</v>
      </c>
      <c r="B84" s="20" t="s">
        <v>33</v>
      </c>
      <c r="C84" s="20" t="s">
        <v>23</v>
      </c>
      <c r="D84" s="20" t="s">
        <v>170</v>
      </c>
      <c r="E84" s="20" t="s">
        <v>1278</v>
      </c>
      <c r="F84" s="14">
        <v>54087.8</v>
      </c>
      <c r="G84" s="19">
        <f t="shared" si="2"/>
        <v>1.0247726844131209</v>
      </c>
      <c r="H84" s="7"/>
    </row>
    <row r="85" spans="1:8" ht="14" customHeight="1" x14ac:dyDescent="0.35">
      <c r="A85" s="20" t="s">
        <v>176</v>
      </c>
      <c r="B85" s="20" t="s">
        <v>33</v>
      </c>
      <c r="C85" s="20" t="s">
        <v>23</v>
      </c>
      <c r="D85" s="20" t="s">
        <v>170</v>
      </c>
      <c r="E85" s="20" t="s">
        <v>1279</v>
      </c>
      <c r="F85" s="14">
        <v>17364.599999999999</v>
      </c>
      <c r="G85" s="19">
        <f t="shared" si="2"/>
        <v>1.0178466535365054</v>
      </c>
      <c r="H85" s="7"/>
    </row>
    <row r="86" spans="1:8" ht="14" customHeight="1" x14ac:dyDescent="0.35">
      <c r="A86" s="20" t="s">
        <v>179</v>
      </c>
      <c r="B86" s="20" t="s">
        <v>33</v>
      </c>
      <c r="C86" s="20" t="s">
        <v>23</v>
      </c>
      <c r="D86" s="20" t="s">
        <v>170</v>
      </c>
      <c r="E86" s="20" t="s">
        <v>1280</v>
      </c>
      <c r="F86" s="14">
        <v>500654</v>
      </c>
      <c r="G86" s="19">
        <f t="shared" si="2"/>
        <v>1.0025127133709109</v>
      </c>
      <c r="H86" s="7"/>
    </row>
    <row r="87" spans="1:8" ht="14" customHeight="1" x14ac:dyDescent="0.35">
      <c r="A87" s="20" t="s">
        <v>182</v>
      </c>
      <c r="B87" s="20" t="s">
        <v>33</v>
      </c>
      <c r="C87" s="20" t="s">
        <v>23</v>
      </c>
      <c r="D87" s="20" t="s">
        <v>170</v>
      </c>
      <c r="E87" s="20" t="s">
        <v>1281</v>
      </c>
      <c r="F87" s="14">
        <v>207491</v>
      </c>
      <c r="G87" s="19">
        <f t="shared" si="2"/>
        <v>0.99640948282094166</v>
      </c>
      <c r="H87" s="7"/>
    </row>
    <row r="88" spans="1:8" ht="14" customHeight="1" x14ac:dyDescent="0.35">
      <c r="A88" s="20" t="s">
        <v>188</v>
      </c>
      <c r="B88" s="20" t="s">
        <v>33</v>
      </c>
      <c r="C88" s="20" t="s">
        <v>23</v>
      </c>
      <c r="D88" s="20" t="s">
        <v>170</v>
      </c>
      <c r="E88" s="20" t="s">
        <v>1282</v>
      </c>
      <c r="F88" s="14">
        <v>221648.20499999999</v>
      </c>
      <c r="G88" s="19">
        <f t="shared" si="2"/>
        <v>1.0093699112068155</v>
      </c>
      <c r="H88" s="7"/>
    </row>
    <row r="89" spans="1:8" ht="14" customHeight="1" x14ac:dyDescent="0.35">
      <c r="A89" s="20" t="s">
        <v>191</v>
      </c>
      <c r="B89" s="20" t="s">
        <v>33</v>
      </c>
      <c r="C89" s="20" t="s">
        <v>23</v>
      </c>
      <c r="D89" s="20" t="s">
        <v>170</v>
      </c>
      <c r="E89" s="20" t="s">
        <v>1283</v>
      </c>
      <c r="F89" s="14">
        <v>89670.684999999998</v>
      </c>
      <c r="G89" s="19">
        <f t="shared" ref="G89:G120" si="3">E89/F89</f>
        <v>1.0343706307139284</v>
      </c>
      <c r="H89" s="7"/>
    </row>
    <row r="90" spans="1:8" ht="14" customHeight="1" x14ac:dyDescent="0.35">
      <c r="A90" s="20" t="s">
        <v>194</v>
      </c>
      <c r="B90" s="20" t="s">
        <v>33</v>
      </c>
      <c r="C90" s="20" t="s">
        <v>23</v>
      </c>
      <c r="D90" s="20" t="s">
        <v>170</v>
      </c>
      <c r="E90" s="20" t="s">
        <v>1284</v>
      </c>
      <c r="F90" s="14">
        <v>71502.274000000005</v>
      </c>
      <c r="G90" s="19">
        <f t="shared" si="3"/>
        <v>1.0169973195537809</v>
      </c>
      <c r="H90" s="7"/>
    </row>
    <row r="91" spans="1:8" ht="14" customHeight="1" x14ac:dyDescent="0.35">
      <c r="A91" s="20" t="s">
        <v>579</v>
      </c>
      <c r="B91" s="20" t="s">
        <v>33</v>
      </c>
      <c r="C91" s="20" t="s">
        <v>23</v>
      </c>
      <c r="D91" s="20" t="s">
        <v>170</v>
      </c>
      <c r="E91" s="20" t="s">
        <v>1285</v>
      </c>
      <c r="F91" s="14">
        <v>6.7770000000000001</v>
      </c>
      <c r="G91" s="19">
        <f t="shared" si="3"/>
        <v>1.0200678766415818</v>
      </c>
      <c r="H91" s="7"/>
    </row>
    <row r="92" spans="1:8" ht="14" customHeight="1" x14ac:dyDescent="0.35">
      <c r="A92" s="20" t="s">
        <v>582</v>
      </c>
      <c r="B92" s="20" t="s">
        <v>33</v>
      </c>
      <c r="C92" s="20" t="s">
        <v>23</v>
      </c>
      <c r="D92" s="20" t="s">
        <v>170</v>
      </c>
      <c r="E92" s="20" t="s">
        <v>1286</v>
      </c>
      <c r="F92" s="14">
        <v>132.71100000000001</v>
      </c>
      <c r="G92" s="19">
        <f t="shared" si="3"/>
        <v>0.99717431109704546</v>
      </c>
      <c r="H92" s="7"/>
    </row>
    <row r="93" spans="1:8" ht="14" customHeight="1" x14ac:dyDescent="0.35">
      <c r="A93" s="20" t="s">
        <v>585</v>
      </c>
      <c r="B93" s="20" t="s">
        <v>33</v>
      </c>
      <c r="C93" s="20" t="s">
        <v>23</v>
      </c>
      <c r="D93" s="20" t="s">
        <v>170</v>
      </c>
      <c r="E93" s="20" t="s">
        <v>1287</v>
      </c>
      <c r="F93" s="14">
        <v>3.42</v>
      </c>
      <c r="G93" s="19">
        <f t="shared" si="3"/>
        <v>0.99619883040935675</v>
      </c>
      <c r="H93" s="7"/>
    </row>
    <row r="94" spans="1:8" ht="14" customHeight="1" x14ac:dyDescent="0.35">
      <c r="A94" s="20" t="s">
        <v>588</v>
      </c>
      <c r="B94" s="20" t="s">
        <v>33</v>
      </c>
      <c r="C94" s="20" t="s">
        <v>23</v>
      </c>
      <c r="D94" s="20" t="s">
        <v>170</v>
      </c>
      <c r="E94" s="20" t="s">
        <v>1288</v>
      </c>
      <c r="F94" s="14">
        <v>30.462</v>
      </c>
      <c r="G94" s="19">
        <f t="shared" si="3"/>
        <v>0.95827588470881753</v>
      </c>
      <c r="H94" s="7"/>
    </row>
    <row r="95" spans="1:8" ht="14" customHeight="1" x14ac:dyDescent="0.35">
      <c r="A95" s="20" t="s">
        <v>591</v>
      </c>
      <c r="B95" s="20" t="s">
        <v>33</v>
      </c>
      <c r="C95" s="20" t="s">
        <v>23</v>
      </c>
      <c r="D95" s="20" t="s">
        <v>170</v>
      </c>
      <c r="E95" s="20" t="s">
        <v>1289</v>
      </c>
      <c r="F95" s="14">
        <v>36.902000000000001</v>
      </c>
      <c r="G95" s="19">
        <f t="shared" si="3"/>
        <v>0.99336079345292927</v>
      </c>
      <c r="H95" s="7"/>
    </row>
    <row r="96" spans="1:8" ht="14" customHeight="1" x14ac:dyDescent="0.35">
      <c r="A96" s="20" t="s">
        <v>594</v>
      </c>
      <c r="B96" s="20" t="s">
        <v>33</v>
      </c>
      <c r="C96" s="20" t="s">
        <v>23</v>
      </c>
      <c r="D96" s="20" t="s">
        <v>170</v>
      </c>
      <c r="E96" s="20" t="s">
        <v>1290</v>
      </c>
      <c r="F96" s="14">
        <v>6.5259999999999998</v>
      </c>
      <c r="G96" s="19">
        <f t="shared" si="3"/>
        <v>0.99371743794054557</v>
      </c>
      <c r="H96" s="7"/>
    </row>
    <row r="97" spans="1:8" ht="14" customHeight="1" x14ac:dyDescent="0.35">
      <c r="A97" s="20" t="s">
        <v>597</v>
      </c>
      <c r="B97" s="20" t="s">
        <v>33</v>
      </c>
      <c r="C97" s="20" t="s">
        <v>23</v>
      </c>
      <c r="D97" s="20" t="s">
        <v>170</v>
      </c>
      <c r="E97" s="20" t="s">
        <v>1291</v>
      </c>
      <c r="F97" s="14">
        <v>3.0510000000000002</v>
      </c>
      <c r="G97" s="19">
        <f t="shared" si="3"/>
        <v>1.0085217961324155</v>
      </c>
      <c r="H97" s="7"/>
    </row>
    <row r="98" spans="1:8" ht="14" customHeight="1" x14ac:dyDescent="0.35">
      <c r="A98" s="20" t="s">
        <v>600</v>
      </c>
      <c r="B98" s="20" t="s">
        <v>33</v>
      </c>
      <c r="C98" s="20" t="s">
        <v>23</v>
      </c>
      <c r="D98" s="20" t="s">
        <v>170</v>
      </c>
      <c r="E98" s="20" t="s">
        <v>1292</v>
      </c>
      <c r="F98" s="14">
        <v>56.886000000000003</v>
      </c>
      <c r="G98" s="19">
        <f t="shared" si="3"/>
        <v>0.99774988573638501</v>
      </c>
      <c r="H98" s="7"/>
    </row>
    <row r="99" spans="1:8" ht="14" customHeight="1" x14ac:dyDescent="0.35">
      <c r="A99" s="20" t="s">
        <v>603</v>
      </c>
      <c r="B99" s="20" t="s">
        <v>33</v>
      </c>
      <c r="C99" s="20" t="s">
        <v>23</v>
      </c>
      <c r="D99" s="20" t="s">
        <v>170</v>
      </c>
      <c r="E99" s="20" t="s">
        <v>1293</v>
      </c>
      <c r="F99" s="14">
        <v>3.2349999999999999</v>
      </c>
      <c r="G99" s="2">
        <f t="shared" si="3"/>
        <v>1.0714064914992274</v>
      </c>
      <c r="H99" s="7" t="s">
        <v>1294</v>
      </c>
    </row>
    <row r="100" spans="1:8" ht="14" customHeight="1" x14ac:dyDescent="0.35">
      <c r="A100" s="20" t="s">
        <v>606</v>
      </c>
      <c r="B100" s="20" t="s">
        <v>33</v>
      </c>
      <c r="C100" s="20" t="s">
        <v>23</v>
      </c>
      <c r="D100" s="20" t="s">
        <v>170</v>
      </c>
      <c r="E100" s="20" t="s">
        <v>1295</v>
      </c>
      <c r="F100" s="14">
        <v>27.36</v>
      </c>
      <c r="G100" s="19">
        <f t="shared" si="3"/>
        <v>0.98369883040935679</v>
      </c>
      <c r="H100" s="7"/>
    </row>
    <row r="101" spans="1:8" ht="14" customHeight="1" x14ac:dyDescent="0.35">
      <c r="A101" s="20" t="s">
        <v>609</v>
      </c>
      <c r="B101" s="20" t="s">
        <v>33</v>
      </c>
      <c r="C101" s="20" t="s">
        <v>23</v>
      </c>
      <c r="D101" s="20" t="s">
        <v>170</v>
      </c>
      <c r="E101" s="20" t="s">
        <v>1296</v>
      </c>
      <c r="F101" s="14">
        <v>34.807000000000002</v>
      </c>
      <c r="G101" s="19">
        <f t="shared" si="3"/>
        <v>0.99321975464705359</v>
      </c>
      <c r="H101" s="7"/>
    </row>
    <row r="102" spans="1:8" ht="14" customHeight="1" x14ac:dyDescent="0.35">
      <c r="A102" s="20" t="s">
        <v>612</v>
      </c>
      <c r="B102" s="20" t="s">
        <v>33</v>
      </c>
      <c r="C102" s="20" t="s">
        <v>23</v>
      </c>
      <c r="D102" s="20" t="s">
        <v>170</v>
      </c>
      <c r="E102" s="20" t="s">
        <v>1297</v>
      </c>
      <c r="F102" s="14">
        <v>5.3719999999999999</v>
      </c>
      <c r="G102" s="19">
        <f t="shared" si="3"/>
        <v>1.0197319434102754</v>
      </c>
      <c r="H102" s="7"/>
    </row>
    <row r="103" spans="1:8" ht="14" customHeight="1" x14ac:dyDescent="0.35">
      <c r="A103" s="20" t="s">
        <v>615</v>
      </c>
      <c r="B103" s="20" t="s">
        <v>33</v>
      </c>
      <c r="C103" s="20" t="s">
        <v>23</v>
      </c>
      <c r="D103" s="20" t="s">
        <v>58</v>
      </c>
      <c r="E103" s="20" t="s">
        <v>1298</v>
      </c>
      <c r="F103" s="14">
        <v>832</v>
      </c>
      <c r="G103" s="12">
        <f t="shared" si="3"/>
        <v>1.4735576923076923</v>
      </c>
      <c r="H103" s="7" t="s">
        <v>1299</v>
      </c>
    </row>
    <row r="104" spans="1:8" ht="14" customHeight="1" x14ac:dyDescent="0.35">
      <c r="A104" s="20" t="s">
        <v>619</v>
      </c>
      <c r="B104" s="20" t="s">
        <v>33</v>
      </c>
      <c r="C104" s="20" t="s">
        <v>23</v>
      </c>
      <c r="D104" s="20" t="s">
        <v>58</v>
      </c>
      <c r="E104" s="20" t="s">
        <v>1300</v>
      </c>
      <c r="F104" s="14">
        <v>697</v>
      </c>
      <c r="G104" s="12">
        <f t="shared" si="3"/>
        <v>1.1362984218077474</v>
      </c>
      <c r="H104" s="7" t="s">
        <v>1299</v>
      </c>
    </row>
    <row r="105" spans="1:8" ht="14" customHeight="1" x14ac:dyDescent="0.35">
      <c r="A105" s="20" t="s">
        <v>622</v>
      </c>
      <c r="B105" s="20" t="s">
        <v>33</v>
      </c>
      <c r="C105" s="20" t="s">
        <v>23</v>
      </c>
      <c r="D105" s="20" t="s">
        <v>58</v>
      </c>
      <c r="E105" s="20" t="s">
        <v>1301</v>
      </c>
      <c r="F105" s="14">
        <v>3567</v>
      </c>
      <c r="G105" s="19">
        <f t="shared" si="3"/>
        <v>0.99018783291281187</v>
      </c>
      <c r="H105" s="7"/>
    </row>
    <row r="106" spans="1:8" ht="14" customHeight="1" x14ac:dyDescent="0.35">
      <c r="A106" s="20" t="s">
        <v>261</v>
      </c>
      <c r="B106" s="20" t="s">
        <v>33</v>
      </c>
      <c r="C106" s="20" t="s">
        <v>23</v>
      </c>
      <c r="D106" s="20" t="s">
        <v>58</v>
      </c>
      <c r="E106" s="20" t="s">
        <v>1302</v>
      </c>
      <c r="F106" s="14">
        <v>179.94</v>
      </c>
      <c r="G106" s="19">
        <f t="shared" si="3"/>
        <v>0.98689563187729246</v>
      </c>
      <c r="H106" s="7"/>
    </row>
    <row r="107" spans="1:8" ht="14" customHeight="1" x14ac:dyDescent="0.35">
      <c r="A107" s="20" t="s">
        <v>264</v>
      </c>
      <c r="B107" s="20" t="s">
        <v>33</v>
      </c>
      <c r="C107" s="20" t="s">
        <v>23</v>
      </c>
      <c r="D107" s="20" t="s">
        <v>58</v>
      </c>
      <c r="E107" s="20" t="s">
        <v>1303</v>
      </c>
      <c r="F107" s="14">
        <v>53.116999999999997</v>
      </c>
      <c r="G107" s="19">
        <f t="shared" si="3"/>
        <v>0.96057759286104272</v>
      </c>
      <c r="H107" s="7"/>
    </row>
    <row r="108" spans="1:8" ht="14" customHeight="1" x14ac:dyDescent="0.35">
      <c r="A108" s="20" t="s">
        <v>682</v>
      </c>
      <c r="B108" s="20" t="s">
        <v>33</v>
      </c>
      <c r="C108" s="20" t="s">
        <v>23</v>
      </c>
      <c r="D108" s="20" t="s">
        <v>58</v>
      </c>
      <c r="E108" s="20" t="s">
        <v>1304</v>
      </c>
      <c r="F108" s="14">
        <v>208.53899999999999</v>
      </c>
      <c r="G108" s="19">
        <f t="shared" si="3"/>
        <v>1.0365303372510659</v>
      </c>
      <c r="H108" s="7"/>
    </row>
    <row r="109" spans="1:8" ht="14" customHeight="1" x14ac:dyDescent="0.35">
      <c r="A109" s="20" t="s">
        <v>685</v>
      </c>
      <c r="B109" s="20" t="s">
        <v>33</v>
      </c>
      <c r="C109" s="20" t="s">
        <v>23</v>
      </c>
      <c r="D109" s="20" t="s">
        <v>58</v>
      </c>
      <c r="E109" s="20" t="s">
        <v>1305</v>
      </c>
      <c r="F109" s="14">
        <v>746.84199999999998</v>
      </c>
      <c r="G109" s="2">
        <f t="shared" si="3"/>
        <v>1.0557480698728781</v>
      </c>
      <c r="H109" s="7" t="s">
        <v>1306</v>
      </c>
    </row>
    <row r="110" spans="1:8" ht="14" customHeight="1" x14ac:dyDescent="0.35">
      <c r="A110" s="20" t="s">
        <v>689</v>
      </c>
      <c r="B110" s="20" t="s">
        <v>33</v>
      </c>
      <c r="C110" s="20" t="s">
        <v>23</v>
      </c>
      <c r="D110" s="20" t="s">
        <v>58</v>
      </c>
      <c r="E110" s="20" t="s">
        <v>1307</v>
      </c>
      <c r="F110" s="14">
        <v>865.31200000000001</v>
      </c>
      <c r="G110" s="19">
        <f t="shared" si="3"/>
        <v>0.97419543471025472</v>
      </c>
      <c r="H110" s="7"/>
    </row>
    <row r="111" spans="1:8" ht="14" customHeight="1" x14ac:dyDescent="0.35">
      <c r="A111" s="20" t="s">
        <v>692</v>
      </c>
      <c r="B111" s="20" t="s">
        <v>33</v>
      </c>
      <c r="C111" s="20" t="s">
        <v>23</v>
      </c>
      <c r="D111" s="20" t="s">
        <v>58</v>
      </c>
      <c r="E111" s="20" t="s">
        <v>1308</v>
      </c>
      <c r="F111" s="14">
        <v>576.14599999999996</v>
      </c>
      <c r="G111" s="2">
        <f t="shared" si="3"/>
        <v>1.0864884942358362</v>
      </c>
      <c r="H111" s="7" t="s">
        <v>1306</v>
      </c>
    </row>
    <row r="118" spans="1:3" ht="14" customHeight="1" x14ac:dyDescent="0.35">
      <c r="A118" s="36" t="s">
        <v>373</v>
      </c>
      <c r="B118" s="20"/>
      <c r="C118" s="20"/>
    </row>
    <row r="119" spans="1:3" ht="14" customHeight="1" x14ac:dyDescent="0.35">
      <c r="A119" s="36" t="s">
        <v>24</v>
      </c>
      <c r="B119" s="36" t="s">
        <v>25</v>
      </c>
      <c r="C119" s="36" t="s">
        <v>1184</v>
      </c>
    </row>
    <row r="120" spans="1:3" ht="14" customHeight="1" x14ac:dyDescent="0.35">
      <c r="A120" s="20" t="s">
        <v>378</v>
      </c>
      <c r="B120" s="20" t="s">
        <v>33</v>
      </c>
      <c r="C120" s="14" t="s">
        <v>375</v>
      </c>
    </row>
    <row r="121" spans="1:3" ht="14" customHeight="1" x14ac:dyDescent="0.35">
      <c r="A121" s="20" t="s">
        <v>379</v>
      </c>
      <c r="B121" s="20" t="s">
        <v>33</v>
      </c>
      <c r="C121" s="14" t="s">
        <v>375</v>
      </c>
    </row>
    <row r="122" spans="1:3" ht="14" customHeight="1" x14ac:dyDescent="0.35">
      <c r="A122" s="20" t="s">
        <v>380</v>
      </c>
      <c r="B122" s="20" t="s">
        <v>33</v>
      </c>
      <c r="C122" s="14" t="s">
        <v>375</v>
      </c>
    </row>
    <row r="123" spans="1:3" ht="14" customHeight="1" x14ac:dyDescent="0.35">
      <c r="A123" s="20" t="s">
        <v>381</v>
      </c>
      <c r="B123" s="20" t="s">
        <v>33</v>
      </c>
      <c r="C123" s="14" t="s">
        <v>375</v>
      </c>
    </row>
    <row r="124" spans="1:3" ht="14" customHeight="1" x14ac:dyDescent="0.35">
      <c r="A124" s="20" t="s">
        <v>963</v>
      </c>
      <c r="B124" s="20" t="s">
        <v>33</v>
      </c>
      <c r="C124" s="14" t="s">
        <v>375</v>
      </c>
    </row>
    <row r="125" spans="1:3" ht="14" customHeight="1" x14ac:dyDescent="0.35">
      <c r="A125" s="20" t="s">
        <v>964</v>
      </c>
      <c r="B125" s="20" t="s">
        <v>33</v>
      </c>
      <c r="C125" s="14" t="s">
        <v>375</v>
      </c>
    </row>
    <row r="126" spans="1:3" ht="14" customHeight="1" x14ac:dyDescent="0.35">
      <c r="A126" s="20" t="s">
        <v>386</v>
      </c>
      <c r="B126" s="20" t="s">
        <v>33</v>
      </c>
      <c r="C126" s="14" t="s">
        <v>375</v>
      </c>
    </row>
    <row r="127" spans="1:3" ht="14" customHeight="1" x14ac:dyDescent="0.35">
      <c r="A127" s="20" t="s">
        <v>387</v>
      </c>
      <c r="B127" s="20" t="s">
        <v>33</v>
      </c>
      <c r="C127" s="14" t="s">
        <v>375</v>
      </c>
    </row>
    <row r="128" spans="1:3" ht="14" customHeight="1" x14ac:dyDescent="0.35">
      <c r="A128" s="20" t="s">
        <v>388</v>
      </c>
      <c r="B128" s="20" t="s">
        <v>33</v>
      </c>
      <c r="C128" s="14" t="s">
        <v>375</v>
      </c>
    </row>
    <row r="129" spans="1:3" ht="14" customHeight="1" x14ac:dyDescent="0.35">
      <c r="A129" s="20" t="s">
        <v>389</v>
      </c>
      <c r="B129" s="20" t="s">
        <v>33</v>
      </c>
      <c r="C129" s="14" t="s">
        <v>375</v>
      </c>
    </row>
    <row r="130" spans="1:3" ht="14" customHeight="1" x14ac:dyDescent="0.35">
      <c r="A130" s="20" t="s">
        <v>965</v>
      </c>
      <c r="B130" s="20" t="s">
        <v>33</v>
      </c>
      <c r="C130" s="14" t="s">
        <v>375</v>
      </c>
    </row>
    <row r="131" spans="1:3" ht="14" customHeight="1" x14ac:dyDescent="0.35">
      <c r="A131" s="20" t="s">
        <v>390</v>
      </c>
      <c r="B131" s="20" t="s">
        <v>33</v>
      </c>
      <c r="C131" s="14" t="s">
        <v>375</v>
      </c>
    </row>
    <row r="132" spans="1:3" ht="14" customHeight="1" x14ac:dyDescent="0.35">
      <c r="A132" s="20" t="s">
        <v>1309</v>
      </c>
      <c r="B132" s="20" t="s">
        <v>57</v>
      </c>
      <c r="C132" s="14" t="s">
        <v>375</v>
      </c>
    </row>
    <row r="133" spans="1:3" ht="14" customHeight="1" x14ac:dyDescent="0.35">
      <c r="A133" s="20" t="s">
        <v>970</v>
      </c>
      <c r="B133" s="20" t="s">
        <v>801</v>
      </c>
      <c r="C133" s="14" t="s">
        <v>375</v>
      </c>
    </row>
    <row r="134" spans="1:3" ht="14" customHeight="1" x14ac:dyDescent="0.35">
      <c r="A134" s="20" t="s">
        <v>970</v>
      </c>
      <c r="B134" s="20" t="s">
        <v>803</v>
      </c>
      <c r="C134" s="14" t="s">
        <v>375</v>
      </c>
    </row>
    <row r="135" spans="1:3" ht="14" customHeight="1" x14ac:dyDescent="0.35">
      <c r="A135" s="20" t="s">
        <v>974</v>
      </c>
      <c r="B135" s="20" t="s">
        <v>866</v>
      </c>
      <c r="C135" s="14" t="s">
        <v>375</v>
      </c>
    </row>
    <row r="136" spans="1:3" ht="14" customHeight="1" x14ac:dyDescent="0.35">
      <c r="A136" s="20" t="s">
        <v>393</v>
      </c>
      <c r="B136" s="20" t="s">
        <v>33</v>
      </c>
      <c r="C136" s="14" t="s">
        <v>375</v>
      </c>
    </row>
    <row r="137" spans="1:3" ht="14" customHeight="1" x14ac:dyDescent="0.35">
      <c r="A137" s="20" t="s">
        <v>394</v>
      </c>
      <c r="B137" s="20" t="s">
        <v>33</v>
      </c>
      <c r="C137" s="14" t="s">
        <v>375</v>
      </c>
    </row>
    <row r="138" spans="1:3" ht="14" customHeight="1" x14ac:dyDescent="0.35">
      <c r="A138" s="20" t="s">
        <v>395</v>
      </c>
      <c r="B138" s="20" t="s">
        <v>33</v>
      </c>
      <c r="C138" s="14" t="s">
        <v>375</v>
      </c>
    </row>
    <row r="139" spans="1:3" ht="14" customHeight="1" x14ac:dyDescent="0.35">
      <c r="A139" s="20" t="s">
        <v>396</v>
      </c>
      <c r="B139" s="20" t="s">
        <v>33</v>
      </c>
      <c r="C139" s="14" t="s">
        <v>375</v>
      </c>
    </row>
    <row r="140" spans="1:3" ht="14" customHeight="1" x14ac:dyDescent="0.35">
      <c r="A140" s="20" t="s">
        <v>397</v>
      </c>
      <c r="B140" s="20" t="s">
        <v>33</v>
      </c>
      <c r="C140" s="14" t="s">
        <v>375</v>
      </c>
    </row>
    <row r="141" spans="1:3" ht="14" customHeight="1" x14ac:dyDescent="0.35">
      <c r="A141" s="20" t="s">
        <v>399</v>
      </c>
      <c r="B141" s="20" t="s">
        <v>33</v>
      </c>
      <c r="C141" s="14" t="s">
        <v>375</v>
      </c>
    </row>
    <row r="142" spans="1:3" ht="14" customHeight="1" x14ac:dyDescent="0.35">
      <c r="A142" s="20" t="s">
        <v>400</v>
      </c>
      <c r="B142" s="20" t="s">
        <v>33</v>
      </c>
      <c r="C142" s="14" t="s">
        <v>375</v>
      </c>
    </row>
    <row r="143" spans="1:3" ht="14" customHeight="1" x14ac:dyDescent="0.35">
      <c r="A143" s="20" t="s">
        <v>401</v>
      </c>
      <c r="B143" s="20" t="s">
        <v>33</v>
      </c>
      <c r="C143" s="14" t="s">
        <v>375</v>
      </c>
    </row>
    <row r="144" spans="1:3" ht="14" customHeight="1" x14ac:dyDescent="0.35">
      <c r="A144" s="20" t="s">
        <v>402</v>
      </c>
      <c r="B144" s="20" t="s">
        <v>33</v>
      </c>
      <c r="C144" s="14" t="s">
        <v>375</v>
      </c>
    </row>
    <row r="145" spans="1:8" ht="14" customHeight="1" x14ac:dyDescent="0.35">
      <c r="A145" s="20" t="s">
        <v>403</v>
      </c>
      <c r="B145" s="20" t="s">
        <v>33</v>
      </c>
      <c r="C145" s="14" t="s">
        <v>375</v>
      </c>
    </row>
    <row r="146" spans="1:8" ht="14" customHeight="1" x14ac:dyDescent="0.35">
      <c r="A146" s="20" t="s">
        <v>404</v>
      </c>
      <c r="B146" s="20" t="s">
        <v>33</v>
      </c>
      <c r="C146" s="14" t="s">
        <v>375</v>
      </c>
    </row>
    <row r="147" spans="1:8" ht="14" customHeight="1" x14ac:dyDescent="0.35">
      <c r="A147" s="20" t="s">
        <v>975</v>
      </c>
      <c r="B147" s="20" t="s">
        <v>906</v>
      </c>
      <c r="C147" s="14" t="s">
        <v>375</v>
      </c>
    </row>
    <row r="148" spans="1:8" ht="14" customHeight="1" x14ac:dyDescent="0.35">
      <c r="A148" s="20" t="s">
        <v>980</v>
      </c>
      <c r="B148" s="20" t="s">
        <v>937</v>
      </c>
      <c r="C148" s="14" t="s">
        <v>375</v>
      </c>
    </row>
    <row r="149" spans="1:8" ht="14" customHeight="1" x14ac:dyDescent="0.35">
      <c r="A149" s="20" t="s">
        <v>981</v>
      </c>
      <c r="B149" s="20" t="s">
        <v>937</v>
      </c>
      <c r="C149" s="14" t="s">
        <v>375</v>
      </c>
    </row>
    <row r="150" spans="1:8" ht="14" customHeight="1" x14ac:dyDescent="0.35">
      <c r="A150" s="20" t="s">
        <v>982</v>
      </c>
      <c r="B150" s="20" t="s">
        <v>937</v>
      </c>
      <c r="C150" s="14" t="s">
        <v>375</v>
      </c>
    </row>
    <row r="152" spans="1:8" ht="14" customHeight="1" x14ac:dyDescent="0.35">
      <c r="F152" s="11"/>
      <c r="H152" s="30"/>
    </row>
    <row r="153" spans="1:8" ht="14" customHeight="1" x14ac:dyDescent="0.35">
      <c r="F153" s="11"/>
      <c r="H153" s="3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92B6-83E9-409C-82F0-BA38DCFD8271}">
  <dimension ref="A1:F59"/>
  <sheetViews>
    <sheetView topLeftCell="A37" workbookViewId="0">
      <selection sqref="A1:F59"/>
    </sheetView>
  </sheetViews>
  <sheetFormatPr defaultRowHeight="15.5" x14ac:dyDescent="0.35"/>
  <sheetData>
    <row r="1" spans="1:6" x14ac:dyDescent="0.3">
      <c r="A1" s="38" t="s">
        <v>0</v>
      </c>
      <c r="B1" s="39"/>
      <c r="C1" s="40"/>
      <c r="D1" s="40"/>
      <c r="E1" s="40"/>
      <c r="F1" s="40"/>
    </row>
    <row r="2" spans="1:6" x14ac:dyDescent="0.3">
      <c r="A2" s="41" t="s">
        <v>1</v>
      </c>
      <c r="B2" s="42" t="s">
        <v>1310</v>
      </c>
      <c r="C2" s="40"/>
      <c r="D2" s="40"/>
      <c r="E2" s="40"/>
      <c r="F2" s="40"/>
    </row>
    <row r="3" spans="1:6" x14ac:dyDescent="0.3">
      <c r="A3" s="41" t="s">
        <v>3</v>
      </c>
      <c r="B3" s="42" t="s">
        <v>1311</v>
      </c>
      <c r="C3" s="40"/>
      <c r="D3" s="40"/>
      <c r="E3" s="40"/>
      <c r="F3" s="40"/>
    </row>
    <row r="4" spans="1:6" x14ac:dyDescent="0.3">
      <c r="A4" s="41" t="s">
        <v>5</v>
      </c>
      <c r="B4" s="42" t="s">
        <v>1312</v>
      </c>
      <c r="C4" s="40"/>
      <c r="D4" s="40"/>
      <c r="E4" s="40"/>
      <c r="F4" s="40"/>
    </row>
    <row r="5" spans="1:6" x14ac:dyDescent="0.3">
      <c r="A5" s="41" t="s">
        <v>7</v>
      </c>
      <c r="B5" s="42" t="s">
        <v>8</v>
      </c>
      <c r="C5" s="40"/>
      <c r="D5" s="40"/>
      <c r="E5" s="40"/>
      <c r="F5" s="40"/>
    </row>
    <row r="6" spans="1:6" x14ac:dyDescent="0.3">
      <c r="A6" s="41" t="s">
        <v>9</v>
      </c>
      <c r="B6" s="42" t="s">
        <v>1313</v>
      </c>
      <c r="C6" s="40"/>
      <c r="D6" s="40"/>
      <c r="E6" s="40"/>
      <c r="F6" s="40"/>
    </row>
    <row r="7" spans="1:6" x14ac:dyDescent="0.3">
      <c r="A7" s="41" t="s">
        <v>11</v>
      </c>
      <c r="B7" s="42" t="s">
        <v>1314</v>
      </c>
      <c r="C7" s="40"/>
      <c r="D7" s="40"/>
      <c r="E7" s="40"/>
      <c r="F7" s="40"/>
    </row>
    <row r="8" spans="1:6" x14ac:dyDescent="0.35">
      <c r="A8" s="43" t="s">
        <v>13</v>
      </c>
      <c r="B8" s="44" t="s">
        <v>1315</v>
      </c>
      <c r="C8" s="40"/>
      <c r="D8" s="40"/>
      <c r="E8" s="40"/>
      <c r="F8" s="40"/>
    </row>
    <row r="9" spans="1:6" x14ac:dyDescent="0.3">
      <c r="A9" s="45" t="s">
        <v>15</v>
      </c>
      <c r="B9" s="46" t="s">
        <v>16</v>
      </c>
      <c r="C9" s="40"/>
      <c r="D9" s="40"/>
      <c r="E9" s="40"/>
      <c r="F9" s="40"/>
    </row>
    <row r="10" spans="1:6" x14ac:dyDescent="0.3">
      <c r="A10" s="45" t="s">
        <v>17</v>
      </c>
      <c r="B10" s="47" t="s">
        <v>18</v>
      </c>
      <c r="C10" s="40"/>
      <c r="D10" s="40"/>
      <c r="E10" s="40"/>
      <c r="F10" s="40"/>
    </row>
    <row r="11" spans="1:6" x14ac:dyDescent="0.3">
      <c r="A11" s="45" t="s">
        <v>19</v>
      </c>
      <c r="B11" s="47" t="s">
        <v>1183</v>
      </c>
      <c r="C11" s="40"/>
      <c r="D11" s="40"/>
      <c r="E11" s="40"/>
      <c r="F11" s="40"/>
    </row>
    <row r="12" spans="1:6" x14ac:dyDescent="0.3">
      <c r="A12" s="45" t="s">
        <v>21</v>
      </c>
      <c r="B12" s="47" t="s">
        <v>22</v>
      </c>
      <c r="C12" s="40"/>
      <c r="D12" s="40"/>
      <c r="E12" s="40"/>
      <c r="F12" s="40"/>
    </row>
    <row r="13" spans="1:6" x14ac:dyDescent="0.35">
      <c r="A13" s="40"/>
      <c r="B13" s="40"/>
      <c r="C13" s="40"/>
      <c r="D13" s="40"/>
      <c r="E13" s="40"/>
      <c r="F13" s="40"/>
    </row>
    <row r="14" spans="1:6" x14ac:dyDescent="0.35">
      <c r="A14" s="40"/>
      <c r="B14" s="40"/>
      <c r="C14" s="40"/>
      <c r="D14" s="40"/>
      <c r="E14" s="40"/>
      <c r="F14" s="40"/>
    </row>
    <row r="15" spans="1:6" x14ac:dyDescent="0.35">
      <c r="A15" s="40"/>
      <c r="B15" s="40"/>
      <c r="C15" s="40"/>
      <c r="D15" s="40"/>
      <c r="E15" s="40"/>
      <c r="F15" s="40"/>
    </row>
    <row r="16" spans="1:6" x14ac:dyDescent="0.35">
      <c r="A16" s="48" t="s">
        <v>1316</v>
      </c>
      <c r="B16" s="49"/>
      <c r="C16" s="49"/>
      <c r="D16" s="49"/>
      <c r="E16" s="49"/>
      <c r="F16" s="49"/>
    </row>
    <row r="17" spans="1:6" x14ac:dyDescent="0.35">
      <c r="A17" s="48" t="s">
        <v>24</v>
      </c>
      <c r="B17" s="48" t="s">
        <v>25</v>
      </c>
      <c r="C17" s="48" t="s">
        <v>26</v>
      </c>
      <c r="D17" s="48" t="s">
        <v>27</v>
      </c>
      <c r="E17" s="48" t="s">
        <v>1184</v>
      </c>
      <c r="F17" s="50" t="s">
        <v>31</v>
      </c>
    </row>
    <row r="18" spans="1:6" x14ac:dyDescent="0.3">
      <c r="A18" s="42" t="s">
        <v>61</v>
      </c>
      <c r="B18" s="42" t="s">
        <v>33</v>
      </c>
      <c r="C18" s="42" t="s">
        <v>23</v>
      </c>
      <c r="D18" s="42" t="s">
        <v>58</v>
      </c>
      <c r="E18" s="42" t="s">
        <v>1317</v>
      </c>
      <c r="F18" s="42"/>
    </row>
    <row r="19" spans="1:6" x14ac:dyDescent="0.3">
      <c r="A19" s="42" t="s">
        <v>65</v>
      </c>
      <c r="B19" s="42" t="s">
        <v>33</v>
      </c>
      <c r="C19" s="42" t="s">
        <v>23</v>
      </c>
      <c r="D19" s="42" t="s">
        <v>58</v>
      </c>
      <c r="E19" s="42" t="s">
        <v>1318</v>
      </c>
      <c r="F19" s="42"/>
    </row>
    <row r="20" spans="1:6" x14ac:dyDescent="0.3">
      <c r="A20" s="42" t="s">
        <v>68</v>
      </c>
      <c r="B20" s="42" t="s">
        <v>33</v>
      </c>
      <c r="C20" s="42" t="s">
        <v>23</v>
      </c>
      <c r="D20" s="42" t="s">
        <v>58</v>
      </c>
      <c r="E20" s="42" t="s">
        <v>1319</v>
      </c>
      <c r="F20" s="42"/>
    </row>
    <row r="21" spans="1:6" x14ac:dyDescent="0.3">
      <c r="A21" s="42" t="s">
        <v>71</v>
      </c>
      <c r="B21" s="42" t="s">
        <v>33</v>
      </c>
      <c r="C21" s="42" t="s">
        <v>23</v>
      </c>
      <c r="D21" s="42" t="s">
        <v>58</v>
      </c>
      <c r="E21" s="42" t="s">
        <v>1320</v>
      </c>
      <c r="F21" s="42"/>
    </row>
    <row r="22" spans="1:6" x14ac:dyDescent="0.3">
      <c r="A22" s="42" t="s">
        <v>98</v>
      </c>
      <c r="B22" s="42" t="s">
        <v>33</v>
      </c>
      <c r="C22" s="42" t="s">
        <v>23</v>
      </c>
      <c r="D22" s="42" t="s">
        <v>58</v>
      </c>
      <c r="E22" s="42" t="s">
        <v>1321</v>
      </c>
      <c r="F22" s="42"/>
    </row>
    <row r="23" spans="1:6" x14ac:dyDescent="0.3">
      <c r="A23" s="42" t="s">
        <v>100</v>
      </c>
      <c r="B23" s="42" t="s">
        <v>33</v>
      </c>
      <c r="C23" s="42" t="s">
        <v>23</v>
      </c>
      <c r="D23" s="42" t="s">
        <v>58</v>
      </c>
      <c r="E23" s="42" t="s">
        <v>1322</v>
      </c>
      <c r="F23" s="42"/>
    </row>
    <row r="24" spans="1:6" x14ac:dyDescent="0.3">
      <c r="A24" s="42" t="s">
        <v>104</v>
      </c>
      <c r="B24" s="42" t="s">
        <v>33</v>
      </c>
      <c r="C24" s="42" t="s">
        <v>23</v>
      </c>
      <c r="D24" s="42" t="s">
        <v>58</v>
      </c>
      <c r="E24" s="42" t="s">
        <v>1323</v>
      </c>
      <c r="F24" s="42"/>
    </row>
    <row r="25" spans="1:6" x14ac:dyDescent="0.3">
      <c r="A25" s="42" t="s">
        <v>108</v>
      </c>
      <c r="B25" s="42" t="s">
        <v>33</v>
      </c>
      <c r="C25" s="42" t="s">
        <v>23</v>
      </c>
      <c r="D25" s="42" t="s">
        <v>58</v>
      </c>
      <c r="E25" s="42" t="s">
        <v>1324</v>
      </c>
      <c r="F25" s="42"/>
    </row>
    <row r="26" spans="1:6" x14ac:dyDescent="0.3">
      <c r="A26" s="42" t="s">
        <v>112</v>
      </c>
      <c r="B26" s="42" t="s">
        <v>33</v>
      </c>
      <c r="C26" s="42" t="s">
        <v>23</v>
      </c>
      <c r="D26" s="42" t="s">
        <v>58</v>
      </c>
      <c r="E26" s="42" t="s">
        <v>1325</v>
      </c>
      <c r="F26" s="42"/>
    </row>
    <row r="27" spans="1:6" x14ac:dyDescent="0.3">
      <c r="A27" s="42" t="s">
        <v>133</v>
      </c>
      <c r="B27" s="42" t="s">
        <v>33</v>
      </c>
      <c r="C27" s="42" t="s">
        <v>23</v>
      </c>
      <c r="D27" s="42" t="s">
        <v>58</v>
      </c>
      <c r="E27" s="42" t="s">
        <v>1326</v>
      </c>
      <c r="F27" s="42"/>
    </row>
    <row r="28" spans="1:6" x14ac:dyDescent="0.3">
      <c r="A28" s="42" t="s">
        <v>136</v>
      </c>
      <c r="B28" s="42" t="s">
        <v>33</v>
      </c>
      <c r="C28" s="42" t="s">
        <v>23</v>
      </c>
      <c r="D28" s="42" t="s">
        <v>58</v>
      </c>
      <c r="E28" s="42" t="s">
        <v>1327</v>
      </c>
      <c r="F28" s="42"/>
    </row>
    <row r="29" spans="1:6" x14ac:dyDescent="0.3">
      <c r="A29" s="42" t="s">
        <v>139</v>
      </c>
      <c r="B29" s="42" t="s">
        <v>33</v>
      </c>
      <c r="C29" s="42" t="s">
        <v>23</v>
      </c>
      <c r="D29" s="42" t="s">
        <v>58</v>
      </c>
      <c r="E29" s="42" t="s">
        <v>1328</v>
      </c>
      <c r="F29" s="42"/>
    </row>
    <row r="30" spans="1:6" x14ac:dyDescent="0.35">
      <c r="A30" s="40"/>
      <c r="B30" s="40"/>
      <c r="C30" s="40"/>
      <c r="D30" s="40"/>
      <c r="E30" s="40"/>
      <c r="F30" s="40"/>
    </row>
    <row r="31" spans="1:6" x14ac:dyDescent="0.35">
      <c r="A31" s="40"/>
      <c r="B31" s="40"/>
      <c r="C31" s="40"/>
      <c r="D31" s="40"/>
      <c r="E31" s="40"/>
      <c r="F31" s="40"/>
    </row>
    <row r="32" spans="1:6" x14ac:dyDescent="0.35">
      <c r="A32" s="40"/>
      <c r="B32" s="40"/>
      <c r="C32" s="40"/>
      <c r="D32" s="40"/>
      <c r="E32" s="40"/>
      <c r="F32" s="40"/>
    </row>
    <row r="33" spans="1:6" x14ac:dyDescent="0.35">
      <c r="A33" s="48" t="s">
        <v>1316</v>
      </c>
      <c r="B33" s="49"/>
      <c r="C33" s="49"/>
      <c r="D33" s="49"/>
      <c r="E33" s="49"/>
      <c r="F33" s="49"/>
    </row>
    <row r="34" spans="1:6" x14ac:dyDescent="0.35">
      <c r="A34" s="48" t="s">
        <v>24</v>
      </c>
      <c r="B34" s="48" t="s">
        <v>25</v>
      </c>
      <c r="C34" s="48" t="s">
        <v>26</v>
      </c>
      <c r="D34" s="48" t="s">
        <v>27</v>
      </c>
      <c r="E34" s="48" t="s">
        <v>1184</v>
      </c>
      <c r="F34" s="50" t="s">
        <v>31</v>
      </c>
    </row>
    <row r="35" spans="1:6" x14ac:dyDescent="0.3">
      <c r="A35" s="42" t="s">
        <v>291</v>
      </c>
      <c r="B35" s="42" t="s">
        <v>33</v>
      </c>
      <c r="C35" s="42" t="s">
        <v>273</v>
      </c>
      <c r="D35" s="42" t="s">
        <v>292</v>
      </c>
      <c r="E35" s="42" t="s">
        <v>1329</v>
      </c>
      <c r="F35" s="42"/>
    </row>
    <row r="36" spans="1:6" x14ac:dyDescent="0.3">
      <c r="A36" s="42" t="s">
        <v>296</v>
      </c>
      <c r="B36" s="42" t="s">
        <v>33</v>
      </c>
      <c r="C36" s="42" t="s">
        <v>273</v>
      </c>
      <c r="D36" s="42" t="s">
        <v>292</v>
      </c>
      <c r="E36" s="42" t="s">
        <v>1330</v>
      </c>
      <c r="F36" s="42"/>
    </row>
    <row r="37" spans="1:6" x14ac:dyDescent="0.3">
      <c r="A37" s="42" t="s">
        <v>299</v>
      </c>
      <c r="B37" s="42" t="s">
        <v>300</v>
      </c>
      <c r="C37" s="42" t="s">
        <v>273</v>
      </c>
      <c r="D37" s="42" t="s">
        <v>301</v>
      </c>
      <c r="E37" s="42" t="s">
        <v>302</v>
      </c>
      <c r="F37" s="42"/>
    </row>
    <row r="38" spans="1:6" x14ac:dyDescent="0.3">
      <c r="A38" s="42" t="s">
        <v>303</v>
      </c>
      <c r="B38" s="42" t="s">
        <v>300</v>
      </c>
      <c r="C38" s="42" t="s">
        <v>273</v>
      </c>
      <c r="D38" s="42" t="s">
        <v>371</v>
      </c>
      <c r="E38" s="51" t="s">
        <v>1331</v>
      </c>
      <c r="F38" s="52" t="s">
        <v>1332</v>
      </c>
    </row>
    <row r="39" spans="1:6" x14ac:dyDescent="0.3">
      <c r="A39" s="42" t="s">
        <v>345</v>
      </c>
      <c r="B39" s="42" t="s">
        <v>33</v>
      </c>
      <c r="C39" s="42" t="s">
        <v>273</v>
      </c>
      <c r="D39" s="42" t="s">
        <v>92</v>
      </c>
      <c r="E39" s="42" t="s">
        <v>1333</v>
      </c>
      <c r="F39" s="42"/>
    </row>
    <row r="40" spans="1:6" x14ac:dyDescent="0.3">
      <c r="A40" s="42" t="s">
        <v>369</v>
      </c>
      <c r="B40" s="42" t="s">
        <v>370</v>
      </c>
      <c r="C40" s="42" t="s">
        <v>273</v>
      </c>
      <c r="D40" s="42" t="s">
        <v>371</v>
      </c>
      <c r="E40" s="42" t="s">
        <v>372</v>
      </c>
      <c r="F40" s="42"/>
    </row>
    <row r="41" spans="1:6" x14ac:dyDescent="0.35">
      <c r="A41" s="40"/>
      <c r="B41" s="40"/>
      <c r="C41" s="40"/>
      <c r="D41" s="40"/>
      <c r="E41" s="40"/>
      <c r="F41" s="40"/>
    </row>
    <row r="42" spans="1:6" x14ac:dyDescent="0.35">
      <c r="A42" s="40"/>
      <c r="B42" s="40"/>
      <c r="C42" s="40"/>
      <c r="D42" s="40"/>
      <c r="E42" s="40"/>
      <c r="F42" s="40"/>
    </row>
    <row r="43" spans="1:6" x14ac:dyDescent="0.35">
      <c r="A43" s="40"/>
      <c r="B43" s="40"/>
      <c r="C43" s="40"/>
      <c r="D43" s="40"/>
      <c r="E43" s="40"/>
      <c r="F43" s="40"/>
    </row>
    <row r="44" spans="1:6" x14ac:dyDescent="0.35">
      <c r="A44" s="40"/>
      <c r="B44" s="40"/>
      <c r="C44" s="40"/>
      <c r="D44" s="40"/>
      <c r="E44" s="40"/>
      <c r="F44" s="40"/>
    </row>
    <row r="45" spans="1:6" x14ac:dyDescent="0.35">
      <c r="A45" s="48" t="s">
        <v>373</v>
      </c>
      <c r="B45" s="49"/>
      <c r="C45" s="49"/>
      <c r="D45" s="40"/>
      <c r="E45" s="40"/>
      <c r="F45" s="40"/>
    </row>
    <row r="46" spans="1:6" x14ac:dyDescent="0.35">
      <c r="A46" s="48" t="s">
        <v>24</v>
      </c>
      <c r="B46" s="48" t="s">
        <v>25</v>
      </c>
      <c r="C46" s="48" t="s">
        <v>1184</v>
      </c>
      <c r="D46" s="40"/>
      <c r="E46" s="40"/>
      <c r="F46" s="40"/>
    </row>
    <row r="47" spans="1:6" x14ac:dyDescent="0.3">
      <c r="A47" s="42" t="s">
        <v>378</v>
      </c>
      <c r="B47" s="42" t="s">
        <v>33</v>
      </c>
      <c r="C47" s="44" t="s">
        <v>375</v>
      </c>
      <c r="D47" s="40"/>
      <c r="E47" s="40"/>
      <c r="F47" s="40"/>
    </row>
    <row r="48" spans="1:6" x14ac:dyDescent="0.3">
      <c r="A48" s="42" t="s">
        <v>379</v>
      </c>
      <c r="B48" s="42" t="s">
        <v>33</v>
      </c>
      <c r="C48" s="44" t="s">
        <v>375</v>
      </c>
      <c r="D48" s="40"/>
      <c r="E48" s="40"/>
      <c r="F48" s="40"/>
    </row>
    <row r="49" spans="1:6" x14ac:dyDescent="0.3">
      <c r="A49" s="42" t="s">
        <v>380</v>
      </c>
      <c r="B49" s="42" t="s">
        <v>33</v>
      </c>
      <c r="C49" s="44" t="s">
        <v>375</v>
      </c>
      <c r="D49" s="40"/>
      <c r="E49" s="40"/>
      <c r="F49" s="40"/>
    </row>
    <row r="50" spans="1:6" x14ac:dyDescent="0.3">
      <c r="A50" s="42" t="s">
        <v>381</v>
      </c>
      <c r="B50" s="42" t="s">
        <v>33</v>
      </c>
      <c r="C50" s="44" t="s">
        <v>375</v>
      </c>
      <c r="D50" s="40"/>
      <c r="E50" s="40"/>
      <c r="F50" s="40"/>
    </row>
    <row r="51" spans="1:6" x14ac:dyDescent="0.3">
      <c r="A51" s="42" t="s">
        <v>386</v>
      </c>
      <c r="B51" s="42" t="s">
        <v>33</v>
      </c>
      <c r="C51" s="44" t="s">
        <v>375</v>
      </c>
      <c r="D51" s="40"/>
      <c r="E51" s="40"/>
      <c r="F51" s="40"/>
    </row>
    <row r="52" spans="1:6" x14ac:dyDescent="0.3">
      <c r="A52" s="42" t="s">
        <v>387</v>
      </c>
      <c r="B52" s="42" t="s">
        <v>33</v>
      </c>
      <c r="C52" s="44" t="s">
        <v>375</v>
      </c>
      <c r="D52" s="40"/>
      <c r="E52" s="40"/>
      <c r="F52" s="40"/>
    </row>
    <row r="53" spans="1:6" x14ac:dyDescent="0.3">
      <c r="A53" s="42" t="s">
        <v>388</v>
      </c>
      <c r="B53" s="42" t="s">
        <v>33</v>
      </c>
      <c r="C53" s="44" t="s">
        <v>375</v>
      </c>
      <c r="D53" s="40"/>
      <c r="E53" s="40"/>
      <c r="F53" s="40"/>
    </row>
    <row r="54" spans="1:6" x14ac:dyDescent="0.3">
      <c r="A54" s="42" t="s">
        <v>389</v>
      </c>
      <c r="B54" s="42" t="s">
        <v>33</v>
      </c>
      <c r="C54" s="44" t="s">
        <v>375</v>
      </c>
      <c r="D54" s="40"/>
      <c r="E54" s="40"/>
      <c r="F54" s="40"/>
    </row>
    <row r="55" spans="1:6" x14ac:dyDescent="0.3">
      <c r="A55" s="42" t="s">
        <v>393</v>
      </c>
      <c r="B55" s="42" t="s">
        <v>33</v>
      </c>
      <c r="C55" s="44" t="s">
        <v>375</v>
      </c>
      <c r="D55" s="40"/>
      <c r="E55" s="40"/>
      <c r="F55" s="40"/>
    </row>
    <row r="56" spans="1:6" x14ac:dyDescent="0.3">
      <c r="A56" s="42" t="s">
        <v>394</v>
      </c>
      <c r="B56" s="42" t="s">
        <v>33</v>
      </c>
      <c r="C56" s="44" t="s">
        <v>375</v>
      </c>
      <c r="D56" s="40"/>
      <c r="E56" s="40"/>
      <c r="F56" s="40"/>
    </row>
    <row r="57" spans="1:6" x14ac:dyDescent="0.3">
      <c r="A57" s="42" t="s">
        <v>395</v>
      </c>
      <c r="B57" s="42" t="s">
        <v>33</v>
      </c>
      <c r="C57" s="44" t="s">
        <v>375</v>
      </c>
      <c r="D57" s="40"/>
      <c r="E57" s="40"/>
      <c r="F57" s="40"/>
    </row>
    <row r="58" spans="1:6" x14ac:dyDescent="0.3">
      <c r="A58" s="42" t="s">
        <v>396</v>
      </c>
      <c r="B58" s="42" t="s">
        <v>33</v>
      </c>
      <c r="C58" s="44" t="s">
        <v>375</v>
      </c>
      <c r="D58" s="40"/>
      <c r="E58" s="40"/>
      <c r="F58" s="40"/>
    </row>
    <row r="59" spans="1:6" x14ac:dyDescent="0.3">
      <c r="A59" s="42" t="s">
        <v>397</v>
      </c>
      <c r="B59" s="42" t="s">
        <v>33</v>
      </c>
      <c r="C59" s="44" t="s">
        <v>375</v>
      </c>
      <c r="D59" s="40"/>
      <c r="E59" s="40"/>
      <c r="F59" s="40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E455-0066-472E-8BC5-49C42D56D612}">
  <dimension ref="A1:F146"/>
  <sheetViews>
    <sheetView tabSelected="1" topLeftCell="A139" workbookViewId="0">
      <selection sqref="A1:F146"/>
    </sheetView>
  </sheetViews>
  <sheetFormatPr defaultRowHeight="15.5" x14ac:dyDescent="0.35"/>
  <sheetData>
    <row r="1" spans="1:6" x14ac:dyDescent="0.35">
      <c r="A1" s="38" t="s">
        <v>0</v>
      </c>
      <c r="B1" s="53"/>
      <c r="C1" s="54"/>
      <c r="D1" s="54"/>
      <c r="E1" s="54"/>
      <c r="F1" s="54"/>
    </row>
    <row r="2" spans="1:6" x14ac:dyDescent="0.35">
      <c r="A2" s="41" t="s">
        <v>1</v>
      </c>
      <c r="B2" s="52" t="s">
        <v>1334</v>
      </c>
      <c r="C2" s="54"/>
      <c r="D2" s="54"/>
      <c r="E2" s="54"/>
      <c r="F2" s="54"/>
    </row>
    <row r="3" spans="1:6" x14ac:dyDescent="0.35">
      <c r="A3" s="41" t="s">
        <v>3</v>
      </c>
      <c r="B3" s="52" t="s">
        <v>1335</v>
      </c>
      <c r="C3" s="54"/>
      <c r="D3" s="54"/>
      <c r="E3" s="54"/>
      <c r="F3" s="54"/>
    </row>
    <row r="4" spans="1:6" x14ac:dyDescent="0.35">
      <c r="A4" s="41" t="s">
        <v>5</v>
      </c>
      <c r="B4" s="52" t="s">
        <v>1312</v>
      </c>
      <c r="C4" s="54"/>
      <c r="D4" s="54"/>
      <c r="E4" s="54"/>
      <c r="F4" s="54"/>
    </row>
    <row r="5" spans="1:6" x14ac:dyDescent="0.35">
      <c r="A5" s="41" t="s">
        <v>7</v>
      </c>
      <c r="B5" s="52" t="s">
        <v>8</v>
      </c>
      <c r="C5" s="54"/>
      <c r="D5" s="54"/>
      <c r="E5" s="54"/>
      <c r="F5" s="54"/>
    </row>
    <row r="6" spans="1:6" x14ac:dyDescent="0.35">
      <c r="A6" s="41" t="s">
        <v>9</v>
      </c>
      <c r="B6" s="52" t="s">
        <v>1313</v>
      </c>
      <c r="C6" s="54"/>
      <c r="D6" s="54"/>
      <c r="E6" s="54"/>
      <c r="F6" s="54"/>
    </row>
    <row r="7" spans="1:6" x14ac:dyDescent="0.35">
      <c r="A7" s="41" t="s">
        <v>11</v>
      </c>
      <c r="B7" s="52" t="s">
        <v>1336</v>
      </c>
      <c r="C7" s="54"/>
      <c r="D7" s="54"/>
      <c r="E7" s="54"/>
      <c r="F7" s="54"/>
    </row>
    <row r="8" spans="1:6" x14ac:dyDescent="0.35">
      <c r="A8" s="43" t="s">
        <v>13</v>
      </c>
      <c r="B8" s="44" t="s">
        <v>1337</v>
      </c>
      <c r="C8" s="54"/>
      <c r="D8" s="54"/>
      <c r="E8" s="54"/>
      <c r="F8" s="54"/>
    </row>
    <row r="9" spans="1:6" x14ac:dyDescent="0.35">
      <c r="A9" s="45" t="s">
        <v>15</v>
      </c>
      <c r="B9" s="55" t="s">
        <v>16</v>
      </c>
      <c r="C9" s="54"/>
      <c r="D9" s="54"/>
      <c r="E9" s="54"/>
      <c r="F9" s="54"/>
    </row>
    <row r="10" spans="1:6" x14ac:dyDescent="0.35">
      <c r="A10" s="45" t="s">
        <v>17</v>
      </c>
      <c r="B10" s="56" t="s">
        <v>18</v>
      </c>
      <c r="C10" s="54"/>
      <c r="D10" s="54"/>
      <c r="E10" s="54"/>
      <c r="F10" s="54"/>
    </row>
    <row r="11" spans="1:6" x14ac:dyDescent="0.35">
      <c r="A11" s="45" t="s">
        <v>19</v>
      </c>
      <c r="B11" s="56" t="s">
        <v>1183</v>
      </c>
      <c r="C11" s="54"/>
      <c r="D11" s="54"/>
      <c r="E11" s="54"/>
      <c r="F11" s="54"/>
    </row>
    <row r="12" spans="1:6" x14ac:dyDescent="0.35">
      <c r="A12" s="45" t="s">
        <v>21</v>
      </c>
      <c r="B12" s="56" t="s">
        <v>22</v>
      </c>
      <c r="C12" s="54"/>
      <c r="D12" s="54"/>
      <c r="E12" s="54"/>
      <c r="F12" s="54"/>
    </row>
    <row r="13" spans="1:6" x14ac:dyDescent="0.35">
      <c r="A13" s="54"/>
      <c r="B13" s="54"/>
      <c r="C13" s="54"/>
      <c r="D13" s="54"/>
      <c r="E13" s="54"/>
      <c r="F13" s="54"/>
    </row>
    <row r="14" spans="1:6" x14ac:dyDescent="0.35">
      <c r="A14" s="54"/>
      <c r="B14" s="54"/>
      <c r="C14" s="54"/>
      <c r="D14" s="54"/>
      <c r="E14" s="54"/>
      <c r="F14" s="54"/>
    </row>
    <row r="15" spans="1:6" x14ac:dyDescent="0.35">
      <c r="A15" s="54"/>
      <c r="B15" s="54"/>
      <c r="C15" s="54"/>
      <c r="D15" s="54"/>
      <c r="E15" s="54"/>
      <c r="F15" s="54"/>
    </row>
    <row r="16" spans="1:6" x14ac:dyDescent="0.35">
      <c r="A16" s="57" t="s">
        <v>1316</v>
      </c>
      <c r="B16" s="54"/>
      <c r="C16" s="54"/>
      <c r="D16" s="54"/>
      <c r="E16" s="54"/>
      <c r="F16" s="54"/>
    </row>
    <row r="17" spans="1:6" ht="28" x14ac:dyDescent="0.35">
      <c r="A17" s="57" t="s">
        <v>24</v>
      </c>
      <c r="B17" s="57" t="s">
        <v>25</v>
      </c>
      <c r="C17" s="57" t="s">
        <v>26</v>
      </c>
      <c r="D17" s="57" t="s">
        <v>27</v>
      </c>
      <c r="E17" s="38" t="s">
        <v>1184</v>
      </c>
      <c r="F17" s="57" t="s">
        <v>31</v>
      </c>
    </row>
    <row r="18" spans="1:6" x14ac:dyDescent="0.35">
      <c r="A18" s="52" t="s">
        <v>456</v>
      </c>
      <c r="B18" s="52" t="s">
        <v>33</v>
      </c>
      <c r="C18" s="52" t="s">
        <v>23</v>
      </c>
      <c r="D18" s="52" t="s">
        <v>58</v>
      </c>
      <c r="E18" s="52" t="s">
        <v>1338</v>
      </c>
      <c r="F18" s="52"/>
    </row>
    <row r="19" spans="1:6" x14ac:dyDescent="0.35">
      <c r="A19" s="52" t="s">
        <v>464</v>
      </c>
      <c r="B19" s="52" t="s">
        <v>33</v>
      </c>
      <c r="C19" s="52" t="s">
        <v>23</v>
      </c>
      <c r="D19" s="52" t="s">
        <v>170</v>
      </c>
      <c r="E19" s="52" t="s">
        <v>1339</v>
      </c>
      <c r="F19" s="52"/>
    </row>
    <row r="20" spans="1:6" x14ac:dyDescent="0.35">
      <c r="A20" s="52" t="s">
        <v>467</v>
      </c>
      <c r="B20" s="52" t="s">
        <v>33</v>
      </c>
      <c r="C20" s="52" t="s">
        <v>23</v>
      </c>
      <c r="D20" s="52" t="s">
        <v>170</v>
      </c>
      <c r="E20" s="52" t="s">
        <v>1340</v>
      </c>
      <c r="F20" s="52"/>
    </row>
    <row r="21" spans="1:6" x14ac:dyDescent="0.35">
      <c r="A21" s="52" t="s">
        <v>61</v>
      </c>
      <c r="B21" s="52" t="s">
        <v>33</v>
      </c>
      <c r="C21" s="52" t="s">
        <v>23</v>
      </c>
      <c r="D21" s="52" t="s">
        <v>58</v>
      </c>
      <c r="E21" s="52" t="s">
        <v>1341</v>
      </c>
      <c r="F21" s="52"/>
    </row>
    <row r="22" spans="1:6" x14ac:dyDescent="0.35">
      <c r="A22" s="52" t="s">
        <v>65</v>
      </c>
      <c r="B22" s="52" t="s">
        <v>33</v>
      </c>
      <c r="C22" s="52" t="s">
        <v>23</v>
      </c>
      <c r="D22" s="52" t="s">
        <v>58</v>
      </c>
      <c r="E22" s="52" t="s">
        <v>1342</v>
      </c>
      <c r="F22" s="52"/>
    </row>
    <row r="23" spans="1:6" x14ac:dyDescent="0.35">
      <c r="A23" s="52" t="s">
        <v>68</v>
      </c>
      <c r="B23" s="52" t="s">
        <v>33</v>
      </c>
      <c r="C23" s="52" t="s">
        <v>23</v>
      </c>
      <c r="D23" s="52" t="s">
        <v>58</v>
      </c>
      <c r="E23" s="52" t="s">
        <v>1343</v>
      </c>
      <c r="F23" s="52"/>
    </row>
    <row r="24" spans="1:6" x14ac:dyDescent="0.35">
      <c r="A24" s="52" t="s">
        <v>71</v>
      </c>
      <c r="B24" s="52" t="s">
        <v>33</v>
      </c>
      <c r="C24" s="52" t="s">
        <v>23</v>
      </c>
      <c r="D24" s="52" t="s">
        <v>58</v>
      </c>
      <c r="E24" s="52" t="s">
        <v>1344</v>
      </c>
      <c r="F24" s="52"/>
    </row>
    <row r="25" spans="1:6" x14ac:dyDescent="0.35">
      <c r="A25" s="52" t="s">
        <v>473</v>
      </c>
      <c r="B25" s="52" t="s">
        <v>474</v>
      </c>
      <c r="C25" s="52" t="s">
        <v>23</v>
      </c>
      <c r="D25" s="52" t="s">
        <v>58</v>
      </c>
      <c r="E25" s="52" t="s">
        <v>1345</v>
      </c>
      <c r="F25" s="52"/>
    </row>
    <row r="26" spans="1:6" x14ac:dyDescent="0.35">
      <c r="A26" s="52" t="s">
        <v>477</v>
      </c>
      <c r="B26" s="52" t="s">
        <v>474</v>
      </c>
      <c r="C26" s="52" t="s">
        <v>23</v>
      </c>
      <c r="D26" s="52" t="s">
        <v>58</v>
      </c>
      <c r="E26" s="52" t="s">
        <v>1346</v>
      </c>
      <c r="F26" s="52"/>
    </row>
    <row r="27" spans="1:6" x14ac:dyDescent="0.35">
      <c r="A27" s="52" t="s">
        <v>98</v>
      </c>
      <c r="B27" s="52" t="s">
        <v>33</v>
      </c>
      <c r="C27" s="52" t="s">
        <v>23</v>
      </c>
      <c r="D27" s="52" t="s">
        <v>58</v>
      </c>
      <c r="E27" s="52" t="s">
        <v>1347</v>
      </c>
      <c r="F27" s="52"/>
    </row>
    <row r="28" spans="1:6" x14ac:dyDescent="0.35">
      <c r="A28" s="52" t="s">
        <v>100</v>
      </c>
      <c r="B28" s="52" t="s">
        <v>33</v>
      </c>
      <c r="C28" s="52" t="s">
        <v>23</v>
      </c>
      <c r="D28" s="52" t="s">
        <v>58</v>
      </c>
      <c r="E28" s="52" t="s">
        <v>1348</v>
      </c>
      <c r="F28" s="52"/>
    </row>
    <row r="29" spans="1:6" x14ac:dyDescent="0.35">
      <c r="A29" s="52" t="s">
        <v>104</v>
      </c>
      <c r="B29" s="52" t="s">
        <v>33</v>
      </c>
      <c r="C29" s="52" t="s">
        <v>23</v>
      </c>
      <c r="D29" s="52" t="s">
        <v>58</v>
      </c>
      <c r="E29" s="52" t="s">
        <v>1349</v>
      </c>
      <c r="F29" s="52"/>
    </row>
    <row r="30" spans="1:6" x14ac:dyDescent="0.35">
      <c r="A30" s="52" t="s">
        <v>108</v>
      </c>
      <c r="B30" s="52" t="s">
        <v>33</v>
      </c>
      <c r="C30" s="52" t="s">
        <v>23</v>
      </c>
      <c r="D30" s="52" t="s">
        <v>58</v>
      </c>
      <c r="E30" s="52" t="s">
        <v>1350</v>
      </c>
      <c r="F30" s="52"/>
    </row>
    <row r="31" spans="1:6" x14ac:dyDescent="0.35">
      <c r="A31" s="52" t="s">
        <v>112</v>
      </c>
      <c r="B31" s="52" t="s">
        <v>33</v>
      </c>
      <c r="C31" s="52" t="s">
        <v>23</v>
      </c>
      <c r="D31" s="52" t="s">
        <v>58</v>
      </c>
      <c r="E31" s="52" t="s">
        <v>1351</v>
      </c>
      <c r="F31" s="52"/>
    </row>
    <row r="32" spans="1:6" x14ac:dyDescent="0.35">
      <c r="A32" s="52" t="s">
        <v>512</v>
      </c>
      <c r="B32" s="52" t="s">
        <v>513</v>
      </c>
      <c r="C32" s="52" t="s">
        <v>23</v>
      </c>
      <c r="D32" s="52" t="s">
        <v>58</v>
      </c>
      <c r="E32" s="52" t="s">
        <v>1352</v>
      </c>
      <c r="F32" s="52"/>
    </row>
    <row r="33" spans="1:6" x14ac:dyDescent="0.35">
      <c r="A33" s="52" t="s">
        <v>133</v>
      </c>
      <c r="B33" s="52" t="s">
        <v>33</v>
      </c>
      <c r="C33" s="52" t="s">
        <v>23</v>
      </c>
      <c r="D33" s="52" t="s">
        <v>58</v>
      </c>
      <c r="E33" s="52" t="s">
        <v>1353</v>
      </c>
      <c r="F33" s="52"/>
    </row>
    <row r="34" spans="1:6" x14ac:dyDescent="0.35">
      <c r="A34" s="52" t="s">
        <v>136</v>
      </c>
      <c r="B34" s="52" t="s">
        <v>33</v>
      </c>
      <c r="C34" s="52" t="s">
        <v>23</v>
      </c>
      <c r="D34" s="52" t="s">
        <v>58</v>
      </c>
      <c r="E34" s="52" t="s">
        <v>1354</v>
      </c>
      <c r="F34" s="52"/>
    </row>
    <row r="35" spans="1:6" x14ac:dyDescent="0.35">
      <c r="A35" s="52" t="s">
        <v>139</v>
      </c>
      <c r="B35" s="52" t="s">
        <v>33</v>
      </c>
      <c r="C35" s="52" t="s">
        <v>23</v>
      </c>
      <c r="D35" s="52" t="s">
        <v>58</v>
      </c>
      <c r="E35" s="52" t="s">
        <v>1355</v>
      </c>
      <c r="F35" s="52"/>
    </row>
    <row r="36" spans="1:6" x14ac:dyDescent="0.35">
      <c r="A36" s="52" t="s">
        <v>535</v>
      </c>
      <c r="B36" s="52" t="s">
        <v>536</v>
      </c>
      <c r="C36" s="52" t="s">
        <v>23</v>
      </c>
      <c r="D36" s="52" t="s">
        <v>58</v>
      </c>
      <c r="E36" s="52" t="s">
        <v>1356</v>
      </c>
      <c r="F36" s="52"/>
    </row>
    <row r="37" spans="1:6" x14ac:dyDescent="0.35">
      <c r="A37" s="52" t="s">
        <v>539</v>
      </c>
      <c r="B37" s="52" t="s">
        <v>536</v>
      </c>
      <c r="C37" s="52" t="s">
        <v>23</v>
      </c>
      <c r="D37" s="52" t="s">
        <v>58</v>
      </c>
      <c r="E37" s="52" t="s">
        <v>1357</v>
      </c>
      <c r="F37" s="52"/>
    </row>
    <row r="38" spans="1:6" x14ac:dyDescent="0.35">
      <c r="A38" s="52" t="s">
        <v>541</v>
      </c>
      <c r="B38" s="52" t="s">
        <v>536</v>
      </c>
      <c r="C38" s="52" t="s">
        <v>23</v>
      </c>
      <c r="D38" s="52" t="s">
        <v>58</v>
      </c>
      <c r="E38" s="52" t="s">
        <v>1358</v>
      </c>
      <c r="F38" s="52"/>
    </row>
    <row r="39" spans="1:6" x14ac:dyDescent="0.35">
      <c r="A39" s="52" t="s">
        <v>547</v>
      </c>
      <c r="B39" s="52" t="s">
        <v>536</v>
      </c>
      <c r="C39" s="52" t="s">
        <v>23</v>
      </c>
      <c r="D39" s="52" t="s">
        <v>58</v>
      </c>
      <c r="E39" s="52" t="s">
        <v>1359</v>
      </c>
      <c r="F39" s="52"/>
    </row>
    <row r="40" spans="1:6" x14ac:dyDescent="0.35">
      <c r="A40" s="52" t="s">
        <v>551</v>
      </c>
      <c r="B40" s="52" t="s">
        <v>33</v>
      </c>
      <c r="C40" s="52" t="s">
        <v>23</v>
      </c>
      <c r="D40" s="52" t="s">
        <v>552</v>
      </c>
      <c r="E40" s="52" t="s">
        <v>1360</v>
      </c>
      <c r="F40" s="52"/>
    </row>
    <row r="41" spans="1:6" x14ac:dyDescent="0.35">
      <c r="A41" s="52" t="s">
        <v>553</v>
      </c>
      <c r="B41" s="52" t="s">
        <v>33</v>
      </c>
      <c r="C41" s="52" t="s">
        <v>23</v>
      </c>
      <c r="D41" s="52" t="s">
        <v>552</v>
      </c>
      <c r="E41" s="52" t="s">
        <v>1361</v>
      </c>
      <c r="F41" s="52"/>
    </row>
    <row r="42" spans="1:6" x14ac:dyDescent="0.35">
      <c r="A42" s="52" t="s">
        <v>556</v>
      </c>
      <c r="B42" s="52" t="s">
        <v>33</v>
      </c>
      <c r="C42" s="52" t="s">
        <v>23</v>
      </c>
      <c r="D42" s="52" t="s">
        <v>552</v>
      </c>
      <c r="E42" s="52" t="s">
        <v>1362</v>
      </c>
      <c r="F42" s="52"/>
    </row>
    <row r="43" spans="1:6" x14ac:dyDescent="0.35">
      <c r="A43" s="52" t="s">
        <v>579</v>
      </c>
      <c r="B43" s="52" t="s">
        <v>33</v>
      </c>
      <c r="C43" s="52" t="s">
        <v>23</v>
      </c>
      <c r="D43" s="52" t="s">
        <v>170</v>
      </c>
      <c r="E43" s="52" t="s">
        <v>1363</v>
      </c>
      <c r="F43" s="52"/>
    </row>
    <row r="44" spans="1:6" x14ac:dyDescent="0.35">
      <c r="A44" s="52" t="s">
        <v>582</v>
      </c>
      <c r="B44" s="52" t="s">
        <v>33</v>
      </c>
      <c r="C44" s="52" t="s">
        <v>23</v>
      </c>
      <c r="D44" s="52" t="s">
        <v>170</v>
      </c>
      <c r="E44" s="52" t="s">
        <v>1364</v>
      </c>
      <c r="F44" s="52"/>
    </row>
    <row r="45" spans="1:6" x14ac:dyDescent="0.35">
      <c r="A45" s="52" t="s">
        <v>585</v>
      </c>
      <c r="B45" s="52" t="s">
        <v>33</v>
      </c>
      <c r="C45" s="52" t="s">
        <v>23</v>
      </c>
      <c r="D45" s="52" t="s">
        <v>170</v>
      </c>
      <c r="E45" s="52" t="s">
        <v>586</v>
      </c>
      <c r="F45" s="52"/>
    </row>
    <row r="46" spans="1:6" x14ac:dyDescent="0.35">
      <c r="A46" s="52" t="s">
        <v>588</v>
      </c>
      <c r="B46" s="52" t="s">
        <v>33</v>
      </c>
      <c r="C46" s="52" t="s">
        <v>23</v>
      </c>
      <c r="D46" s="52" t="s">
        <v>170</v>
      </c>
      <c r="E46" s="52" t="s">
        <v>1365</v>
      </c>
      <c r="F46" s="52"/>
    </row>
    <row r="47" spans="1:6" x14ac:dyDescent="0.35">
      <c r="A47" s="52" t="s">
        <v>591</v>
      </c>
      <c r="B47" s="52" t="s">
        <v>33</v>
      </c>
      <c r="C47" s="52" t="s">
        <v>23</v>
      </c>
      <c r="D47" s="52" t="s">
        <v>170</v>
      </c>
      <c r="E47" s="52" t="s">
        <v>1366</v>
      </c>
      <c r="F47" s="52"/>
    </row>
    <row r="48" spans="1:6" x14ac:dyDescent="0.35">
      <c r="A48" s="52" t="s">
        <v>594</v>
      </c>
      <c r="B48" s="52" t="s">
        <v>33</v>
      </c>
      <c r="C48" s="52" t="s">
        <v>23</v>
      </c>
      <c r="D48" s="52" t="s">
        <v>170</v>
      </c>
      <c r="E48" s="52" t="s">
        <v>1367</v>
      </c>
      <c r="F48" s="52"/>
    </row>
    <row r="49" spans="1:6" x14ac:dyDescent="0.35">
      <c r="A49" s="52" t="s">
        <v>597</v>
      </c>
      <c r="B49" s="52" t="s">
        <v>33</v>
      </c>
      <c r="C49" s="52" t="s">
        <v>23</v>
      </c>
      <c r="D49" s="52" t="s">
        <v>170</v>
      </c>
      <c r="E49" s="52" t="s">
        <v>1368</v>
      </c>
      <c r="F49" s="52"/>
    </row>
    <row r="50" spans="1:6" x14ac:dyDescent="0.35">
      <c r="A50" s="52" t="s">
        <v>600</v>
      </c>
      <c r="B50" s="52" t="s">
        <v>33</v>
      </c>
      <c r="C50" s="52" t="s">
        <v>23</v>
      </c>
      <c r="D50" s="52" t="s">
        <v>170</v>
      </c>
      <c r="E50" s="52" t="s">
        <v>1369</v>
      </c>
      <c r="F50" s="52"/>
    </row>
    <row r="51" spans="1:6" x14ac:dyDescent="0.35">
      <c r="A51" s="52" t="s">
        <v>603</v>
      </c>
      <c r="B51" s="52" t="s">
        <v>33</v>
      </c>
      <c r="C51" s="52" t="s">
        <v>23</v>
      </c>
      <c r="D51" s="52" t="s">
        <v>170</v>
      </c>
      <c r="E51" s="52" t="s">
        <v>1370</v>
      </c>
      <c r="F51" s="52"/>
    </row>
    <row r="52" spans="1:6" x14ac:dyDescent="0.35">
      <c r="A52" s="52" t="s">
        <v>606</v>
      </c>
      <c r="B52" s="52" t="s">
        <v>33</v>
      </c>
      <c r="C52" s="52" t="s">
        <v>23</v>
      </c>
      <c r="D52" s="52" t="s">
        <v>170</v>
      </c>
      <c r="E52" s="52" t="s">
        <v>1371</v>
      </c>
      <c r="F52" s="52"/>
    </row>
    <row r="53" spans="1:6" x14ac:dyDescent="0.35">
      <c r="A53" s="52" t="s">
        <v>609</v>
      </c>
      <c r="B53" s="52" t="s">
        <v>33</v>
      </c>
      <c r="C53" s="52" t="s">
        <v>23</v>
      </c>
      <c r="D53" s="52" t="s">
        <v>170</v>
      </c>
      <c r="E53" s="52" t="s">
        <v>1372</v>
      </c>
      <c r="F53" s="52"/>
    </row>
    <row r="54" spans="1:6" x14ac:dyDescent="0.35">
      <c r="A54" s="52" t="s">
        <v>612</v>
      </c>
      <c r="B54" s="52" t="s">
        <v>33</v>
      </c>
      <c r="C54" s="52" t="s">
        <v>23</v>
      </c>
      <c r="D54" s="52" t="s">
        <v>170</v>
      </c>
      <c r="E54" s="52" t="s">
        <v>1373</v>
      </c>
      <c r="F54" s="52"/>
    </row>
    <row r="55" spans="1:6" x14ac:dyDescent="0.35">
      <c r="A55" s="52" t="s">
        <v>615</v>
      </c>
      <c r="B55" s="52" t="s">
        <v>33</v>
      </c>
      <c r="C55" s="52" t="s">
        <v>23</v>
      </c>
      <c r="D55" s="52" t="s">
        <v>58</v>
      </c>
      <c r="E55" s="52" t="s">
        <v>1374</v>
      </c>
      <c r="F55" s="52"/>
    </row>
    <row r="56" spans="1:6" x14ac:dyDescent="0.35">
      <c r="A56" s="52" t="s">
        <v>619</v>
      </c>
      <c r="B56" s="52" t="s">
        <v>33</v>
      </c>
      <c r="C56" s="52" t="s">
        <v>23</v>
      </c>
      <c r="D56" s="52" t="s">
        <v>58</v>
      </c>
      <c r="E56" s="52" t="s">
        <v>1375</v>
      </c>
      <c r="F56" s="52"/>
    </row>
    <row r="57" spans="1:6" x14ac:dyDescent="0.35">
      <c r="A57" s="52" t="s">
        <v>622</v>
      </c>
      <c r="B57" s="52" t="s">
        <v>33</v>
      </c>
      <c r="C57" s="52" t="s">
        <v>23</v>
      </c>
      <c r="D57" s="52" t="s">
        <v>58</v>
      </c>
      <c r="E57" s="52" t="s">
        <v>1376</v>
      </c>
      <c r="F57" s="52"/>
    </row>
    <row r="58" spans="1:6" x14ac:dyDescent="0.35">
      <c r="A58" s="52" t="s">
        <v>261</v>
      </c>
      <c r="B58" s="52" t="s">
        <v>33</v>
      </c>
      <c r="C58" s="52" t="s">
        <v>23</v>
      </c>
      <c r="D58" s="52" t="s">
        <v>58</v>
      </c>
      <c r="E58" s="52" t="s">
        <v>1377</v>
      </c>
      <c r="F58" s="52"/>
    </row>
    <row r="59" spans="1:6" x14ac:dyDescent="0.35">
      <c r="A59" s="52" t="s">
        <v>264</v>
      </c>
      <c r="B59" s="52" t="s">
        <v>33</v>
      </c>
      <c r="C59" s="52" t="s">
        <v>23</v>
      </c>
      <c r="D59" s="52" t="s">
        <v>58</v>
      </c>
      <c r="E59" s="52" t="s">
        <v>1378</v>
      </c>
      <c r="F59" s="52"/>
    </row>
    <row r="60" spans="1:6" x14ac:dyDescent="0.35">
      <c r="A60" s="52" t="s">
        <v>682</v>
      </c>
      <c r="B60" s="52" t="s">
        <v>33</v>
      </c>
      <c r="C60" s="52" t="s">
        <v>23</v>
      </c>
      <c r="D60" s="52" t="s">
        <v>58</v>
      </c>
      <c r="E60" s="52" t="s">
        <v>1379</v>
      </c>
      <c r="F60" s="52"/>
    </row>
    <row r="61" spans="1:6" x14ac:dyDescent="0.35">
      <c r="A61" s="52" t="s">
        <v>685</v>
      </c>
      <c r="B61" s="52" t="s">
        <v>33</v>
      </c>
      <c r="C61" s="52" t="s">
        <v>23</v>
      </c>
      <c r="D61" s="52" t="s">
        <v>58</v>
      </c>
      <c r="E61" s="52" t="s">
        <v>1380</v>
      </c>
      <c r="F61" s="52"/>
    </row>
    <row r="62" spans="1:6" x14ac:dyDescent="0.35">
      <c r="A62" s="52" t="s">
        <v>689</v>
      </c>
      <c r="B62" s="52" t="s">
        <v>33</v>
      </c>
      <c r="C62" s="52" t="s">
        <v>23</v>
      </c>
      <c r="D62" s="52" t="s">
        <v>58</v>
      </c>
      <c r="E62" s="52" t="s">
        <v>1381</v>
      </c>
      <c r="F62" s="52"/>
    </row>
    <row r="63" spans="1:6" x14ac:dyDescent="0.35">
      <c r="A63" s="52" t="s">
        <v>692</v>
      </c>
      <c r="B63" s="52" t="s">
        <v>33</v>
      </c>
      <c r="C63" s="52" t="s">
        <v>23</v>
      </c>
      <c r="D63" s="52" t="s">
        <v>58</v>
      </c>
      <c r="E63" s="52" t="s">
        <v>1382</v>
      </c>
      <c r="F63" s="52"/>
    </row>
    <row r="64" spans="1:6" x14ac:dyDescent="0.35">
      <c r="A64" s="54"/>
      <c r="B64" s="54"/>
      <c r="C64" s="54"/>
      <c r="D64" s="54"/>
      <c r="E64" s="54"/>
      <c r="F64" s="54"/>
    </row>
    <row r="65" spans="1:6" x14ac:dyDescent="0.35">
      <c r="A65" s="54"/>
      <c r="B65" s="54"/>
      <c r="C65" s="54"/>
      <c r="D65" s="54"/>
      <c r="E65" s="54"/>
      <c r="F65" s="54"/>
    </row>
    <row r="66" spans="1:6" x14ac:dyDescent="0.35">
      <c r="A66" s="54"/>
      <c r="B66" s="54"/>
      <c r="C66" s="54"/>
      <c r="D66" s="54"/>
      <c r="E66" s="54"/>
      <c r="F66" s="54"/>
    </row>
    <row r="67" spans="1:6" x14ac:dyDescent="0.35">
      <c r="A67" s="54"/>
      <c r="B67" s="54"/>
      <c r="C67" s="54"/>
      <c r="D67" s="54"/>
      <c r="E67" s="54"/>
      <c r="F67" s="54"/>
    </row>
    <row r="68" spans="1:6" x14ac:dyDescent="0.35">
      <c r="A68" s="54"/>
      <c r="B68" s="54"/>
      <c r="C68" s="54"/>
      <c r="D68" s="54"/>
      <c r="E68" s="54"/>
      <c r="F68" s="54"/>
    </row>
    <row r="69" spans="1:6" x14ac:dyDescent="0.35">
      <c r="A69" s="54"/>
      <c r="B69" s="54"/>
      <c r="C69" s="54"/>
      <c r="D69" s="54"/>
      <c r="E69" s="54"/>
      <c r="F69" s="54"/>
    </row>
    <row r="70" spans="1:6" x14ac:dyDescent="0.35">
      <c r="A70" s="50" t="s">
        <v>1383</v>
      </c>
      <c r="B70" s="52"/>
      <c r="C70" s="52"/>
      <c r="D70" s="52"/>
      <c r="E70" s="52"/>
      <c r="F70" s="52"/>
    </row>
    <row r="71" spans="1:6" ht="28" x14ac:dyDescent="0.35">
      <c r="A71" s="50" t="s">
        <v>24</v>
      </c>
      <c r="B71" s="50" t="s">
        <v>25</v>
      </c>
      <c r="C71" s="50" t="s">
        <v>26</v>
      </c>
      <c r="D71" s="50" t="s">
        <v>27</v>
      </c>
      <c r="E71" s="48" t="s">
        <v>1184</v>
      </c>
      <c r="F71" s="50" t="s">
        <v>31</v>
      </c>
    </row>
    <row r="72" spans="1:6" x14ac:dyDescent="0.35">
      <c r="A72" s="52" t="s">
        <v>283</v>
      </c>
      <c r="B72" s="52" t="s">
        <v>33</v>
      </c>
      <c r="C72" s="52" t="s">
        <v>273</v>
      </c>
      <c r="D72" s="52" t="s">
        <v>284</v>
      </c>
      <c r="E72" s="52" t="s">
        <v>1384</v>
      </c>
      <c r="F72" s="52"/>
    </row>
    <row r="73" spans="1:6" x14ac:dyDescent="0.35">
      <c r="A73" s="52" t="s">
        <v>287</v>
      </c>
      <c r="B73" s="52" t="s">
        <v>33</v>
      </c>
      <c r="C73" s="52" t="s">
        <v>273</v>
      </c>
      <c r="D73" s="52" t="s">
        <v>288</v>
      </c>
      <c r="E73" s="52" t="s">
        <v>1385</v>
      </c>
      <c r="F73" s="52"/>
    </row>
    <row r="74" spans="1:6" x14ac:dyDescent="0.35">
      <c r="A74" s="52" t="s">
        <v>291</v>
      </c>
      <c r="B74" s="52" t="s">
        <v>33</v>
      </c>
      <c r="C74" s="52" t="s">
        <v>273</v>
      </c>
      <c r="D74" s="52" t="s">
        <v>292</v>
      </c>
      <c r="E74" s="52" t="s">
        <v>1386</v>
      </c>
      <c r="F74" s="52"/>
    </row>
    <row r="75" spans="1:6" x14ac:dyDescent="0.35">
      <c r="A75" s="52" t="s">
        <v>296</v>
      </c>
      <c r="B75" s="52" t="s">
        <v>33</v>
      </c>
      <c r="C75" s="52" t="s">
        <v>273</v>
      </c>
      <c r="D75" s="52" t="s">
        <v>292</v>
      </c>
      <c r="E75" s="52" t="s">
        <v>1387</v>
      </c>
      <c r="F75" s="52"/>
    </row>
    <row r="76" spans="1:6" x14ac:dyDescent="0.35">
      <c r="A76" s="52" t="s">
        <v>299</v>
      </c>
      <c r="B76" s="52" t="s">
        <v>300</v>
      </c>
      <c r="C76" s="52" t="s">
        <v>273</v>
      </c>
      <c r="D76" s="52" t="s">
        <v>301</v>
      </c>
      <c r="E76" s="52" t="s">
        <v>302</v>
      </c>
      <c r="F76" s="52"/>
    </row>
    <row r="77" spans="1:6" x14ac:dyDescent="0.35">
      <c r="A77" s="52" t="s">
        <v>303</v>
      </c>
      <c r="B77" s="52" t="s">
        <v>300</v>
      </c>
      <c r="C77" s="52" t="s">
        <v>273</v>
      </c>
      <c r="D77" s="52" t="s">
        <v>301</v>
      </c>
      <c r="E77" s="58" t="s">
        <v>304</v>
      </c>
      <c r="F77" s="52" t="s">
        <v>1332</v>
      </c>
    </row>
    <row r="78" spans="1:6" x14ac:dyDescent="0.35">
      <c r="A78" s="52" t="s">
        <v>800</v>
      </c>
      <c r="B78" s="52" t="s">
        <v>803</v>
      </c>
      <c r="C78" s="52" t="s">
        <v>273</v>
      </c>
      <c r="D78" s="52" t="s">
        <v>716</v>
      </c>
      <c r="E78" s="52" t="s">
        <v>1388</v>
      </c>
      <c r="F78" s="52"/>
    </row>
    <row r="79" spans="1:6" x14ac:dyDescent="0.35">
      <c r="A79" s="52" t="s">
        <v>805</v>
      </c>
      <c r="B79" s="52" t="s">
        <v>803</v>
      </c>
      <c r="C79" s="52" t="s">
        <v>273</v>
      </c>
      <c r="D79" s="52" t="s">
        <v>716</v>
      </c>
      <c r="E79" s="52" t="s">
        <v>1389</v>
      </c>
      <c r="F79" s="52"/>
    </row>
    <row r="80" spans="1:6" x14ac:dyDescent="0.35">
      <c r="A80" s="52" t="s">
        <v>814</v>
      </c>
      <c r="B80" s="52" t="s">
        <v>803</v>
      </c>
      <c r="C80" s="52" t="s">
        <v>273</v>
      </c>
      <c r="D80" s="52" t="s">
        <v>716</v>
      </c>
      <c r="E80" s="52" t="s">
        <v>1390</v>
      </c>
      <c r="F80" s="52"/>
    </row>
    <row r="81" spans="1:6" x14ac:dyDescent="0.35">
      <c r="A81" s="52" t="s">
        <v>819</v>
      </c>
      <c r="B81" s="52" t="s">
        <v>803</v>
      </c>
      <c r="C81" s="52" t="s">
        <v>273</v>
      </c>
      <c r="D81" s="52" t="s">
        <v>716</v>
      </c>
      <c r="E81" s="52" t="s">
        <v>1391</v>
      </c>
      <c r="F81" s="52"/>
    </row>
    <row r="82" spans="1:6" x14ac:dyDescent="0.35">
      <c r="A82" s="52" t="s">
        <v>824</v>
      </c>
      <c r="B82" s="52" t="s">
        <v>803</v>
      </c>
      <c r="C82" s="52" t="s">
        <v>273</v>
      </c>
      <c r="D82" s="52" t="s">
        <v>716</v>
      </c>
      <c r="E82" s="52" t="s">
        <v>1392</v>
      </c>
      <c r="F82" s="52"/>
    </row>
    <row r="83" spans="1:6" x14ac:dyDescent="0.35">
      <c r="A83" s="52" t="s">
        <v>829</v>
      </c>
      <c r="B83" s="52" t="s">
        <v>803</v>
      </c>
      <c r="C83" s="52" t="s">
        <v>273</v>
      </c>
      <c r="D83" s="52" t="s">
        <v>716</v>
      </c>
      <c r="E83" s="52" t="s">
        <v>1393</v>
      </c>
      <c r="F83" s="52"/>
    </row>
    <row r="84" spans="1:6" x14ac:dyDescent="0.35">
      <c r="A84" s="52" t="s">
        <v>844</v>
      </c>
      <c r="B84" s="52" t="s">
        <v>33</v>
      </c>
      <c r="C84" s="52" t="s">
        <v>273</v>
      </c>
      <c r="D84" s="52" t="s">
        <v>835</v>
      </c>
      <c r="E84" s="52" t="s">
        <v>1394</v>
      </c>
      <c r="F84" s="52"/>
    </row>
    <row r="85" spans="1:6" x14ac:dyDescent="0.35">
      <c r="A85" s="52" t="s">
        <v>852</v>
      </c>
      <c r="B85" s="52" t="s">
        <v>33</v>
      </c>
      <c r="C85" s="52" t="s">
        <v>273</v>
      </c>
      <c r="D85" s="52" t="s">
        <v>835</v>
      </c>
      <c r="E85" s="52" t="s">
        <v>1395</v>
      </c>
      <c r="F85" s="52"/>
    </row>
    <row r="86" spans="1:6" x14ac:dyDescent="0.35">
      <c r="A86" s="52" t="s">
        <v>862</v>
      </c>
      <c r="B86" s="52" t="s">
        <v>866</v>
      </c>
      <c r="C86" s="52" t="s">
        <v>273</v>
      </c>
      <c r="D86" s="52" t="s">
        <v>716</v>
      </c>
      <c r="E86" s="52" t="s">
        <v>1396</v>
      </c>
      <c r="F86" s="52"/>
    </row>
    <row r="87" spans="1:6" x14ac:dyDescent="0.35">
      <c r="A87" s="52" t="s">
        <v>869</v>
      </c>
      <c r="B87" s="52" t="s">
        <v>866</v>
      </c>
      <c r="C87" s="52" t="s">
        <v>273</v>
      </c>
      <c r="D87" s="52" t="s">
        <v>716</v>
      </c>
      <c r="E87" s="52" t="s">
        <v>1397</v>
      </c>
      <c r="F87" s="52"/>
    </row>
    <row r="88" spans="1:6" x14ac:dyDescent="0.35">
      <c r="A88" s="52" t="s">
        <v>874</v>
      </c>
      <c r="B88" s="52" t="s">
        <v>866</v>
      </c>
      <c r="C88" s="52" t="s">
        <v>273</v>
      </c>
      <c r="D88" s="52" t="s">
        <v>716</v>
      </c>
      <c r="E88" s="52" t="s">
        <v>1398</v>
      </c>
      <c r="F88" s="52"/>
    </row>
    <row r="89" spans="1:6" x14ac:dyDescent="0.35">
      <c r="A89" s="52" t="s">
        <v>879</v>
      </c>
      <c r="B89" s="52" t="s">
        <v>866</v>
      </c>
      <c r="C89" s="52" t="s">
        <v>273</v>
      </c>
      <c r="D89" s="52" t="s">
        <v>716</v>
      </c>
      <c r="E89" s="52" t="s">
        <v>1399</v>
      </c>
      <c r="F89" s="52"/>
    </row>
    <row r="90" spans="1:6" x14ac:dyDescent="0.35">
      <c r="A90" s="52" t="s">
        <v>884</v>
      </c>
      <c r="B90" s="52" t="s">
        <v>866</v>
      </c>
      <c r="C90" s="52" t="s">
        <v>273</v>
      </c>
      <c r="D90" s="52" t="s">
        <v>716</v>
      </c>
      <c r="E90" s="52" t="s">
        <v>1400</v>
      </c>
      <c r="F90" s="52"/>
    </row>
    <row r="91" spans="1:6" x14ac:dyDescent="0.35">
      <c r="A91" s="52" t="s">
        <v>889</v>
      </c>
      <c r="B91" s="52" t="s">
        <v>866</v>
      </c>
      <c r="C91" s="52" t="s">
        <v>273</v>
      </c>
      <c r="D91" s="52" t="s">
        <v>716</v>
      </c>
      <c r="E91" s="52" t="s">
        <v>1401</v>
      </c>
      <c r="F91" s="52"/>
    </row>
    <row r="92" spans="1:6" x14ac:dyDescent="0.35">
      <c r="A92" s="52" t="s">
        <v>894</v>
      </c>
      <c r="B92" s="52" t="s">
        <v>866</v>
      </c>
      <c r="C92" s="52" t="s">
        <v>273</v>
      </c>
      <c r="D92" s="52" t="s">
        <v>895</v>
      </c>
      <c r="E92" s="52" t="s">
        <v>1402</v>
      </c>
      <c r="F92" s="52"/>
    </row>
    <row r="93" spans="1:6" x14ac:dyDescent="0.35">
      <c r="A93" s="52" t="s">
        <v>544</v>
      </c>
      <c r="B93" s="52" t="s">
        <v>536</v>
      </c>
      <c r="C93" s="52" t="s">
        <v>23</v>
      </c>
      <c r="D93" s="52" t="s">
        <v>58</v>
      </c>
      <c r="E93" s="52" t="s">
        <v>1403</v>
      </c>
      <c r="F93" s="52"/>
    </row>
    <row r="94" spans="1:6" x14ac:dyDescent="0.35">
      <c r="A94" s="52" t="s">
        <v>169</v>
      </c>
      <c r="B94" s="52" t="s">
        <v>33</v>
      </c>
      <c r="C94" s="52" t="s">
        <v>23</v>
      </c>
      <c r="D94" s="52" t="s">
        <v>170</v>
      </c>
      <c r="E94" s="52" t="s">
        <v>1404</v>
      </c>
      <c r="F94" s="52"/>
    </row>
    <row r="95" spans="1:6" x14ac:dyDescent="0.35">
      <c r="A95" s="52" t="s">
        <v>173</v>
      </c>
      <c r="B95" s="52" t="s">
        <v>33</v>
      </c>
      <c r="C95" s="52" t="s">
        <v>23</v>
      </c>
      <c r="D95" s="52" t="s">
        <v>170</v>
      </c>
      <c r="E95" s="52" t="s">
        <v>1405</v>
      </c>
      <c r="F95" s="52"/>
    </row>
    <row r="96" spans="1:6" x14ac:dyDescent="0.35">
      <c r="A96" s="52" t="s">
        <v>176</v>
      </c>
      <c r="B96" s="52" t="s">
        <v>33</v>
      </c>
      <c r="C96" s="52" t="s">
        <v>23</v>
      </c>
      <c r="D96" s="52" t="s">
        <v>170</v>
      </c>
      <c r="E96" s="52" t="s">
        <v>1406</v>
      </c>
      <c r="F96" s="52"/>
    </row>
    <row r="97" spans="1:6" x14ac:dyDescent="0.35">
      <c r="A97" s="52" t="s">
        <v>179</v>
      </c>
      <c r="B97" s="52" t="s">
        <v>33</v>
      </c>
      <c r="C97" s="52" t="s">
        <v>23</v>
      </c>
      <c r="D97" s="52" t="s">
        <v>170</v>
      </c>
      <c r="E97" s="52" t="s">
        <v>1407</v>
      </c>
      <c r="F97" s="52"/>
    </row>
    <row r="98" spans="1:6" x14ac:dyDescent="0.35">
      <c r="A98" s="52" t="s">
        <v>182</v>
      </c>
      <c r="B98" s="52" t="s">
        <v>33</v>
      </c>
      <c r="C98" s="52" t="s">
        <v>23</v>
      </c>
      <c r="D98" s="52" t="s">
        <v>170</v>
      </c>
      <c r="E98" s="52" t="s">
        <v>1408</v>
      </c>
      <c r="F98" s="52"/>
    </row>
    <row r="99" spans="1:6" x14ac:dyDescent="0.35">
      <c r="A99" s="52" t="s">
        <v>188</v>
      </c>
      <c r="B99" s="52" t="s">
        <v>33</v>
      </c>
      <c r="C99" s="52" t="s">
        <v>23</v>
      </c>
      <c r="D99" s="52" t="s">
        <v>170</v>
      </c>
      <c r="E99" s="52" t="s">
        <v>1409</v>
      </c>
      <c r="F99" s="52"/>
    </row>
    <row r="100" spans="1:6" x14ac:dyDescent="0.35">
      <c r="A100" s="52" t="s">
        <v>191</v>
      </c>
      <c r="B100" s="52" t="s">
        <v>33</v>
      </c>
      <c r="C100" s="52" t="s">
        <v>23</v>
      </c>
      <c r="D100" s="52" t="s">
        <v>170</v>
      </c>
      <c r="E100" s="52" t="s">
        <v>1410</v>
      </c>
      <c r="F100" s="52"/>
    </row>
    <row r="101" spans="1:6" x14ac:dyDescent="0.35">
      <c r="A101" s="52" t="s">
        <v>194</v>
      </c>
      <c r="B101" s="52" t="s">
        <v>33</v>
      </c>
      <c r="C101" s="52" t="s">
        <v>23</v>
      </c>
      <c r="D101" s="52" t="s">
        <v>170</v>
      </c>
      <c r="E101" s="52" t="s">
        <v>1411</v>
      </c>
      <c r="F101" s="52"/>
    </row>
    <row r="102" spans="1:6" x14ac:dyDescent="0.35">
      <c r="A102" s="52" t="s">
        <v>905</v>
      </c>
      <c r="B102" s="52" t="s">
        <v>906</v>
      </c>
      <c r="C102" s="52" t="s">
        <v>273</v>
      </c>
      <c r="D102" s="52" t="s">
        <v>902</v>
      </c>
      <c r="E102" s="52" t="s">
        <v>1412</v>
      </c>
      <c r="F102" s="52"/>
    </row>
    <row r="103" spans="1:6" x14ac:dyDescent="0.35">
      <c r="A103" s="52" t="s">
        <v>909</v>
      </c>
      <c r="B103" s="52" t="s">
        <v>906</v>
      </c>
      <c r="C103" s="52" t="s">
        <v>273</v>
      </c>
      <c r="D103" s="52" t="s">
        <v>902</v>
      </c>
      <c r="E103" s="52" t="s">
        <v>1413</v>
      </c>
      <c r="F103" s="52"/>
    </row>
    <row r="104" spans="1:6" x14ac:dyDescent="0.35">
      <c r="A104" s="52" t="s">
        <v>912</v>
      </c>
      <c r="B104" s="52" t="s">
        <v>906</v>
      </c>
      <c r="C104" s="52" t="s">
        <v>273</v>
      </c>
      <c r="D104" s="52" t="s">
        <v>902</v>
      </c>
      <c r="E104" s="52" t="s">
        <v>1414</v>
      </c>
      <c r="F104" s="52"/>
    </row>
    <row r="105" spans="1:6" x14ac:dyDescent="0.35">
      <c r="A105" s="52" t="s">
        <v>345</v>
      </c>
      <c r="B105" s="52" t="s">
        <v>33</v>
      </c>
      <c r="C105" s="52" t="s">
        <v>273</v>
      </c>
      <c r="D105" s="52" t="s">
        <v>92</v>
      </c>
      <c r="E105" s="52" t="s">
        <v>1415</v>
      </c>
      <c r="F105" s="52"/>
    </row>
    <row r="106" spans="1:6" x14ac:dyDescent="0.35">
      <c r="A106" s="52" t="s">
        <v>941</v>
      </c>
      <c r="B106" s="52" t="s">
        <v>937</v>
      </c>
      <c r="C106" s="52" t="s">
        <v>273</v>
      </c>
      <c r="D106" s="52" t="s">
        <v>938</v>
      </c>
      <c r="E106" s="52" t="s">
        <v>1416</v>
      </c>
      <c r="F106" s="52"/>
    </row>
    <row r="107" spans="1:6" x14ac:dyDescent="0.35">
      <c r="A107" s="52" t="s">
        <v>943</v>
      </c>
      <c r="B107" s="52" t="s">
        <v>937</v>
      </c>
      <c r="C107" s="52" t="s">
        <v>273</v>
      </c>
      <c r="D107" s="52" t="s">
        <v>938</v>
      </c>
      <c r="E107" s="52" t="s">
        <v>1417</v>
      </c>
      <c r="F107" s="52"/>
    </row>
    <row r="108" spans="1:6" x14ac:dyDescent="0.35">
      <c r="A108" s="52" t="s">
        <v>369</v>
      </c>
      <c r="B108" s="52" t="s">
        <v>370</v>
      </c>
      <c r="C108" s="52" t="s">
        <v>273</v>
      </c>
      <c r="D108" s="52" t="s">
        <v>371</v>
      </c>
      <c r="E108" s="52" t="s">
        <v>372</v>
      </c>
      <c r="F108" s="52"/>
    </row>
    <row r="109" spans="1:6" x14ac:dyDescent="0.35">
      <c r="A109" s="52" t="s">
        <v>948</v>
      </c>
      <c r="B109" s="52" t="s">
        <v>33</v>
      </c>
      <c r="C109" s="52" t="s">
        <v>273</v>
      </c>
      <c r="D109" s="52" t="s">
        <v>835</v>
      </c>
      <c r="E109" s="52" t="s">
        <v>1418</v>
      </c>
      <c r="F109" s="52"/>
    </row>
    <row r="110" spans="1:6" x14ac:dyDescent="0.35">
      <c r="A110" s="52" t="s">
        <v>951</v>
      </c>
      <c r="B110" s="52" t="s">
        <v>33</v>
      </c>
      <c r="C110" s="52" t="s">
        <v>273</v>
      </c>
      <c r="D110" s="52" t="s">
        <v>835</v>
      </c>
      <c r="E110" s="52" t="s">
        <v>1419</v>
      </c>
      <c r="F110" s="52"/>
    </row>
    <row r="111" spans="1:6" x14ac:dyDescent="0.35">
      <c r="A111" s="52" t="s">
        <v>954</v>
      </c>
      <c r="B111" s="52" t="s">
        <v>33</v>
      </c>
      <c r="C111" s="52" t="s">
        <v>273</v>
      </c>
      <c r="D111" s="52" t="s">
        <v>835</v>
      </c>
      <c r="E111" s="52" t="s">
        <v>1420</v>
      </c>
      <c r="F111" s="52"/>
    </row>
    <row r="112" spans="1:6" x14ac:dyDescent="0.35">
      <c r="A112" s="54"/>
      <c r="B112" s="54"/>
      <c r="C112" s="54"/>
      <c r="D112" s="54"/>
      <c r="E112" s="54"/>
      <c r="F112" s="54"/>
    </row>
    <row r="113" spans="1:6" x14ac:dyDescent="0.35">
      <c r="A113" s="54"/>
      <c r="B113" s="54"/>
      <c r="C113" s="54"/>
      <c r="D113" s="54"/>
      <c r="E113" s="54"/>
      <c r="F113" s="54"/>
    </row>
    <row r="114" spans="1:6" x14ac:dyDescent="0.35">
      <c r="A114" s="54"/>
      <c r="B114" s="54"/>
      <c r="C114" s="54"/>
      <c r="D114" s="54"/>
      <c r="E114" s="54"/>
      <c r="F114" s="54"/>
    </row>
    <row r="115" spans="1:6" x14ac:dyDescent="0.35">
      <c r="A115" s="48" t="s">
        <v>373</v>
      </c>
      <c r="B115" s="52"/>
      <c r="C115" s="52"/>
      <c r="D115" s="54"/>
      <c r="E115" s="54"/>
      <c r="F115" s="54"/>
    </row>
    <row r="116" spans="1:6" x14ac:dyDescent="0.35">
      <c r="A116" s="48" t="s">
        <v>24</v>
      </c>
      <c r="B116" s="48" t="s">
        <v>25</v>
      </c>
      <c r="C116" s="48" t="s">
        <v>1184</v>
      </c>
      <c r="D116" s="54"/>
      <c r="E116" s="54"/>
      <c r="F116" s="54"/>
    </row>
    <row r="117" spans="1:6" x14ac:dyDescent="0.35">
      <c r="A117" s="52" t="s">
        <v>378</v>
      </c>
      <c r="B117" s="52" t="s">
        <v>33</v>
      </c>
      <c r="C117" s="44" t="s">
        <v>375</v>
      </c>
      <c r="D117" s="54"/>
      <c r="E117" s="54"/>
      <c r="F117" s="54"/>
    </row>
    <row r="118" spans="1:6" x14ac:dyDescent="0.35">
      <c r="A118" s="52" t="s">
        <v>379</v>
      </c>
      <c r="B118" s="52" t="s">
        <v>33</v>
      </c>
      <c r="C118" s="44" t="s">
        <v>375</v>
      </c>
      <c r="D118" s="54"/>
      <c r="E118" s="54"/>
      <c r="F118" s="54"/>
    </row>
    <row r="119" spans="1:6" x14ac:dyDescent="0.35">
      <c r="A119" s="52" t="s">
        <v>380</v>
      </c>
      <c r="B119" s="52" t="s">
        <v>33</v>
      </c>
      <c r="C119" s="44" t="s">
        <v>375</v>
      </c>
      <c r="D119" s="54"/>
      <c r="E119" s="54"/>
      <c r="F119" s="54"/>
    </row>
    <row r="120" spans="1:6" x14ac:dyDescent="0.35">
      <c r="A120" s="52" t="s">
        <v>381</v>
      </c>
      <c r="B120" s="52" t="s">
        <v>33</v>
      </c>
      <c r="C120" s="44" t="s">
        <v>375</v>
      </c>
      <c r="D120" s="54"/>
      <c r="E120" s="54"/>
      <c r="F120" s="54"/>
    </row>
    <row r="121" spans="1:6" x14ac:dyDescent="0.35">
      <c r="A121" s="52" t="s">
        <v>963</v>
      </c>
      <c r="B121" s="52" t="s">
        <v>33</v>
      </c>
      <c r="C121" s="44" t="s">
        <v>375</v>
      </c>
      <c r="D121" s="54"/>
      <c r="E121" s="54"/>
      <c r="F121" s="54"/>
    </row>
    <row r="122" spans="1:6" x14ac:dyDescent="0.35">
      <c r="A122" s="52" t="s">
        <v>964</v>
      </c>
      <c r="B122" s="52" t="s">
        <v>33</v>
      </c>
      <c r="C122" s="44" t="s">
        <v>375</v>
      </c>
      <c r="D122" s="54"/>
      <c r="E122" s="54"/>
      <c r="F122" s="54"/>
    </row>
    <row r="123" spans="1:6" x14ac:dyDescent="0.35">
      <c r="A123" s="52" t="s">
        <v>386</v>
      </c>
      <c r="B123" s="52" t="s">
        <v>33</v>
      </c>
      <c r="C123" s="44" t="s">
        <v>375</v>
      </c>
      <c r="D123" s="54"/>
      <c r="E123" s="54"/>
      <c r="F123" s="54"/>
    </row>
    <row r="124" spans="1:6" x14ac:dyDescent="0.35">
      <c r="A124" s="52" t="s">
        <v>387</v>
      </c>
      <c r="B124" s="52" t="s">
        <v>33</v>
      </c>
      <c r="C124" s="44" t="s">
        <v>375</v>
      </c>
      <c r="D124" s="54"/>
      <c r="E124" s="54"/>
      <c r="F124" s="54"/>
    </row>
    <row r="125" spans="1:6" x14ac:dyDescent="0.35">
      <c r="A125" s="52" t="s">
        <v>388</v>
      </c>
      <c r="B125" s="52" t="s">
        <v>33</v>
      </c>
      <c r="C125" s="44" t="s">
        <v>375</v>
      </c>
      <c r="D125" s="54"/>
      <c r="E125" s="54"/>
      <c r="F125" s="54"/>
    </row>
    <row r="126" spans="1:6" x14ac:dyDescent="0.35">
      <c r="A126" s="52" t="s">
        <v>389</v>
      </c>
      <c r="B126" s="52" t="s">
        <v>33</v>
      </c>
      <c r="C126" s="44" t="s">
        <v>375</v>
      </c>
      <c r="D126" s="54"/>
      <c r="E126" s="54"/>
      <c r="F126" s="54"/>
    </row>
    <row r="127" spans="1:6" x14ac:dyDescent="0.35">
      <c r="A127" s="52" t="s">
        <v>965</v>
      </c>
      <c r="B127" s="52" t="s">
        <v>33</v>
      </c>
      <c r="C127" s="44" t="s">
        <v>375</v>
      </c>
      <c r="D127" s="54"/>
      <c r="E127" s="54"/>
      <c r="F127" s="54"/>
    </row>
    <row r="128" spans="1:6" x14ac:dyDescent="0.35">
      <c r="A128" s="52" t="s">
        <v>390</v>
      </c>
      <c r="B128" s="52" t="s">
        <v>33</v>
      </c>
      <c r="C128" s="44" t="s">
        <v>375</v>
      </c>
      <c r="D128" s="54"/>
      <c r="E128" s="54"/>
      <c r="F128" s="54"/>
    </row>
    <row r="129" spans="1:6" x14ac:dyDescent="0.35">
      <c r="A129" s="52" t="s">
        <v>970</v>
      </c>
      <c r="B129" s="52" t="s">
        <v>803</v>
      </c>
      <c r="C129" s="44" t="s">
        <v>375</v>
      </c>
      <c r="D129" s="54"/>
      <c r="E129" s="54"/>
      <c r="F129" s="54"/>
    </row>
    <row r="130" spans="1:6" x14ac:dyDescent="0.35">
      <c r="A130" s="52" t="s">
        <v>974</v>
      </c>
      <c r="B130" s="52" t="s">
        <v>866</v>
      </c>
      <c r="C130" s="44" t="s">
        <v>375</v>
      </c>
      <c r="D130" s="54"/>
      <c r="E130" s="54"/>
      <c r="F130" s="54"/>
    </row>
    <row r="131" spans="1:6" x14ac:dyDescent="0.35">
      <c r="A131" s="52" t="s">
        <v>393</v>
      </c>
      <c r="B131" s="52" t="s">
        <v>33</v>
      </c>
      <c r="C131" s="44" t="s">
        <v>375</v>
      </c>
      <c r="D131" s="54"/>
      <c r="E131" s="54"/>
      <c r="F131" s="54"/>
    </row>
    <row r="132" spans="1:6" x14ac:dyDescent="0.35">
      <c r="A132" s="52" t="s">
        <v>394</v>
      </c>
      <c r="B132" s="52" t="s">
        <v>33</v>
      </c>
      <c r="C132" s="44" t="s">
        <v>375</v>
      </c>
      <c r="D132" s="54"/>
      <c r="E132" s="54"/>
      <c r="F132" s="54"/>
    </row>
    <row r="133" spans="1:6" x14ac:dyDescent="0.35">
      <c r="A133" s="52" t="s">
        <v>395</v>
      </c>
      <c r="B133" s="52" t="s">
        <v>33</v>
      </c>
      <c r="C133" s="44" t="s">
        <v>375</v>
      </c>
      <c r="D133" s="54"/>
      <c r="E133" s="54"/>
      <c r="F133" s="54"/>
    </row>
    <row r="134" spans="1:6" x14ac:dyDescent="0.35">
      <c r="A134" s="52" t="s">
        <v>396</v>
      </c>
      <c r="B134" s="52" t="s">
        <v>33</v>
      </c>
      <c r="C134" s="44" t="s">
        <v>375</v>
      </c>
      <c r="D134" s="54"/>
      <c r="E134" s="54"/>
      <c r="F134" s="54"/>
    </row>
    <row r="135" spans="1:6" x14ac:dyDescent="0.35">
      <c r="A135" s="52" t="s">
        <v>397</v>
      </c>
      <c r="B135" s="52" t="s">
        <v>33</v>
      </c>
      <c r="C135" s="44" t="s">
        <v>375</v>
      </c>
      <c r="D135" s="54"/>
      <c r="E135" s="54"/>
      <c r="F135" s="54"/>
    </row>
    <row r="136" spans="1:6" x14ac:dyDescent="0.35">
      <c r="A136" s="52" t="s">
        <v>399</v>
      </c>
      <c r="B136" s="52" t="s">
        <v>33</v>
      </c>
      <c r="C136" s="44" t="s">
        <v>375</v>
      </c>
      <c r="D136" s="54"/>
      <c r="E136" s="54"/>
      <c r="F136" s="54"/>
    </row>
    <row r="137" spans="1:6" x14ac:dyDescent="0.35">
      <c r="A137" s="52" t="s">
        <v>400</v>
      </c>
      <c r="B137" s="52" t="s">
        <v>33</v>
      </c>
      <c r="C137" s="44" t="s">
        <v>375</v>
      </c>
      <c r="D137" s="54"/>
      <c r="E137" s="54"/>
      <c r="F137" s="54"/>
    </row>
    <row r="138" spans="1:6" x14ac:dyDescent="0.35">
      <c r="A138" s="52" t="s">
        <v>401</v>
      </c>
      <c r="B138" s="52" t="s">
        <v>33</v>
      </c>
      <c r="C138" s="44" t="s">
        <v>375</v>
      </c>
      <c r="D138" s="54"/>
      <c r="E138" s="54"/>
      <c r="F138" s="54"/>
    </row>
    <row r="139" spans="1:6" x14ac:dyDescent="0.35">
      <c r="A139" s="52" t="s">
        <v>402</v>
      </c>
      <c r="B139" s="52" t="s">
        <v>33</v>
      </c>
      <c r="C139" s="44" t="s">
        <v>375</v>
      </c>
      <c r="D139" s="54"/>
      <c r="E139" s="54"/>
      <c r="F139" s="54"/>
    </row>
    <row r="140" spans="1:6" x14ac:dyDescent="0.35">
      <c r="A140" s="52" t="s">
        <v>403</v>
      </c>
      <c r="B140" s="52" t="s">
        <v>33</v>
      </c>
      <c r="C140" s="44" t="s">
        <v>375</v>
      </c>
      <c r="D140" s="54"/>
      <c r="E140" s="54"/>
      <c r="F140" s="54"/>
    </row>
    <row r="141" spans="1:6" x14ac:dyDescent="0.35">
      <c r="A141" s="52" t="s">
        <v>404</v>
      </c>
      <c r="B141" s="52" t="s">
        <v>33</v>
      </c>
      <c r="C141" s="44" t="s">
        <v>375</v>
      </c>
      <c r="D141" s="54"/>
      <c r="E141" s="54"/>
      <c r="F141" s="54"/>
    </row>
    <row r="142" spans="1:6" x14ac:dyDescent="0.35">
      <c r="A142" s="52" t="s">
        <v>975</v>
      </c>
      <c r="B142" s="52" t="s">
        <v>906</v>
      </c>
      <c r="C142" s="44" t="s">
        <v>375</v>
      </c>
      <c r="D142" s="54"/>
      <c r="E142" s="54"/>
      <c r="F142" s="54"/>
    </row>
    <row r="143" spans="1:6" x14ac:dyDescent="0.35">
      <c r="A143" s="52" t="s">
        <v>980</v>
      </c>
      <c r="B143" s="52" t="s">
        <v>937</v>
      </c>
      <c r="C143" s="44" t="s">
        <v>375</v>
      </c>
      <c r="D143" s="54"/>
      <c r="E143" s="54"/>
      <c r="F143" s="54"/>
    </row>
    <row r="144" spans="1:6" x14ac:dyDescent="0.35">
      <c r="A144" s="52" t="s">
        <v>981</v>
      </c>
      <c r="B144" s="52" t="s">
        <v>937</v>
      </c>
      <c r="C144" s="44" t="s">
        <v>375</v>
      </c>
      <c r="D144" s="54"/>
      <c r="E144" s="54"/>
      <c r="F144" s="54"/>
    </row>
    <row r="145" spans="1:6" x14ac:dyDescent="0.35">
      <c r="A145" s="52" t="s">
        <v>982</v>
      </c>
      <c r="B145" s="52" t="s">
        <v>937</v>
      </c>
      <c r="C145" s="44" t="s">
        <v>375</v>
      </c>
      <c r="D145" s="54"/>
      <c r="E145" s="54"/>
      <c r="F145" s="54"/>
    </row>
    <row r="146" spans="1:6" x14ac:dyDescent="0.35">
      <c r="A146" s="54"/>
      <c r="B146" s="54"/>
      <c r="C146" s="54"/>
      <c r="D146" s="54"/>
      <c r="E146" s="54"/>
      <c r="F146" s="54"/>
    </row>
  </sheetData>
  <phoneticPr fontId="1" type="noConversion"/>
  <conditionalFormatting sqref="A117:A1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C500</vt:lpstr>
      <vt:lpstr>X201</vt:lpstr>
      <vt:lpstr>X203</vt:lpstr>
      <vt:lpstr>N300</vt:lpstr>
      <vt:lpstr>X301</vt:lpstr>
      <vt:lpstr>C600</vt:lpstr>
      <vt:lpstr>X302</vt:lpstr>
      <vt:lpstr>'X203'!_FilterDatabase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Zhao Wu (zhawu)</cp:lastModifiedBy>
  <dcterms:created xsi:type="dcterms:W3CDTF">2006-09-16T00:00:00Z</dcterms:created>
  <dcterms:modified xsi:type="dcterms:W3CDTF">2026-05-08T06:25:57Z</dcterms:modified>
</cp:coreProperties>
</file>